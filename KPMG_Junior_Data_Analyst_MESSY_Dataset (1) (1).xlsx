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D8D3FAE6-FBF9-4ACE-B11C-717955DC2D56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Raw_Data" sheetId="1" r:id="rId1"/>
    <sheet name="Working_Copy" sheetId="2" r:id="rId2"/>
    <sheet name="Data_Imputation" sheetId="4" r:id="rId3"/>
    <sheet name="Outlier_Calculations" sheetId="5" r:id="rId4"/>
    <sheet name="Clean_Data" sheetId="6" r:id="rId5"/>
    <sheet name="Data_Cleaning_Summary" sheetId="3" r:id="rId6"/>
  </sheets>
  <definedNames>
    <definedName name="_xlnm._FilterDatabase" localSheetId="0" hidden="1">Raw_Data!$A$1:$H$256</definedName>
    <definedName name="_xlnm._FilterDatabase" localSheetId="1" hidden="1">Working_Copy!$A$1:$J$256</definedName>
    <definedName name="_xlnm._FilterDatabase" localSheetId="4" hidden="1">Clean_Data!$A$1:$H$241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" i="2"/>
  <c r="F1" i="5"/>
  <c r="J34" i="2"/>
  <c r="E1" i="5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" i="2"/>
  <c r="J3" i="2"/>
  <c r="J4" i="2"/>
  <c r="J5" i="2"/>
  <c r="J6" i="2"/>
  <c r="J7" i="2"/>
  <c r="J9" i="2"/>
  <c r="J10" i="2"/>
  <c r="J11" i="2"/>
  <c r="J12" i="2"/>
  <c r="J13" i="2"/>
  <c r="J14" i="2"/>
  <c r="J15" i="2"/>
  <c r="J8" i="2"/>
  <c r="D1" i="5"/>
  <c r="C1" i="5"/>
  <c r="B1" i="5"/>
  <c r="D2" i="4"/>
  <c r="I5" i="3"/>
  <c r="I4" i="3"/>
  <c r="B2" i="3"/>
  <c r="B3" i="3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3" i="4"/>
  <c r="D4" i="4"/>
  <c r="D5" i="4"/>
  <c r="D6" i="4"/>
  <c r="B2" i="4" a="1"/>
  <c r="B2" i="4"/>
  <c r="B6" i="4" a="1"/>
  <c r="B6" i="4"/>
  <c r="B5" i="4" a="1"/>
  <c r="B5" i="4"/>
  <c r="B4" i="4" a="1"/>
  <c r="B4" i="4"/>
  <c r="B3" i="4" a="1"/>
  <c r="B3" i="4"/>
  <c r="C6" i="3" l="1"/>
  <c r="C5" i="3"/>
  <c r="C4" i="3"/>
  <c r="C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<sst xmlns="http://schemas.openxmlformats.org/spreadsheetml/2006/main" count="2258" uniqueCount="47">
  <si>
    <t>Client_ID</t>
  </si>
  <si>
    <t>Client_Industry</t>
  </si>
  <si>
    <t>Region</t>
  </si>
  <si>
    <t>Month</t>
  </si>
  <si>
    <t>Revenue_ZAR</t>
  </si>
  <si>
    <t>Operating_Cost_ZAR</t>
  </si>
  <si>
    <t>Transactions</t>
  </si>
  <si>
    <t>Source_System</t>
  </si>
  <si>
    <t>Manufacturing</t>
  </si>
  <si>
    <t>Western Cape</t>
  </si>
  <si>
    <t>SAP</t>
  </si>
  <si>
    <t>Financial Services</t>
  </si>
  <si>
    <t>Gauteng</t>
  </si>
  <si>
    <t>Healthcare</t>
  </si>
  <si>
    <t>gauteng</t>
  </si>
  <si>
    <t>CRM</t>
  </si>
  <si>
    <t>Retail</t>
  </si>
  <si>
    <t>Eastern Cape</t>
  </si>
  <si>
    <t>Excel Upload</t>
  </si>
  <si>
    <t>KwaZulu-Natal</t>
  </si>
  <si>
    <t>Oracle</t>
  </si>
  <si>
    <t>Technology</t>
  </si>
  <si>
    <t>GAUTENG</t>
  </si>
  <si>
    <t>Data_Quality_Issue</t>
  </si>
  <si>
    <t xml:space="preserve">Revenue_ZAR_Clean
</t>
  </si>
  <si>
    <t>Median_Operating_Cost</t>
  </si>
  <si>
    <t>Operating_Cost_Cleaned</t>
  </si>
  <si>
    <t>Median_Calculation</t>
  </si>
  <si>
    <t xml:space="preserve">Operating_Cost_ZAR
</t>
  </si>
  <si>
    <t>B1 (Q1)</t>
  </si>
  <si>
    <t>C1 (Q3)</t>
  </si>
  <si>
    <t>D1 (IQR)</t>
  </si>
  <si>
    <t>E1 (Lower limit)</t>
  </si>
  <si>
    <t>F1 (Upper limit)</t>
  </si>
  <si>
    <t xml:space="preserve">Revenue_ZAR
</t>
  </si>
  <si>
    <t>Metric</t>
  </si>
  <si>
    <t>Count</t>
  </si>
  <si>
    <t>% of Total</t>
  </si>
  <si>
    <t>Total Rows</t>
  </si>
  <si>
    <t>Clean Records</t>
  </si>
  <si>
    <t>Missing Operating Cost</t>
  </si>
  <si>
    <t>Missing Operating Cost (formular)</t>
  </si>
  <si>
    <t>Revenue Outliers</t>
  </si>
  <si>
    <t>Revenue Outliers (formular)</t>
  </si>
  <si>
    <t>Duplicate Records</t>
  </si>
  <si>
    <t>Initially, Only 85% of the data was analysis ready</t>
  </si>
  <si>
    <t>15 duplicate values found and removed; 240 unique values remain.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</si>
</sst>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charset val="1"/>
    </font>
    <font>
      <sz val="11"/>
      <color rgb="FF252423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6"/>
  <sheetViews>
    <sheetView workbookViewId="0">
      <selection activeCell="I2" sqref="I2"/>
    </sheetView>
  </sheetViews>
  <sheetFormatPr defaultRowHeight="15"/>
  <cols>
    <col min="1" max="1" width="8.85546875" bestFit="1" customWidth="1"/>
    <col min="2" max="2" width="16.140625" bestFit="1" customWidth="1"/>
    <col min="3" max="3" width="13.5703125" bestFit="1" customWidth="1"/>
    <col min="4" max="4" width="10.85546875" bestFit="1" customWidth="1"/>
    <col min="5" max="5" width="12.85546875" bestFit="1" customWidth="1"/>
    <col min="6" max="6" width="19" bestFit="1" customWidth="1"/>
    <col min="7" max="7" width="11.85546875" bestFit="1" customWidth="1"/>
    <col min="8" max="8" width="14.140625" bestFit="1" customWidth="1"/>
    <col min="9" max="9" width="36.57031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9">
      <c r="A2">
        <v>1083</v>
      </c>
      <c r="B2" t="s">
        <v>8</v>
      </c>
      <c r="C2" t="s">
        <v>9</v>
      </c>
      <c r="D2" s="1">
        <v>45227</v>
      </c>
      <c r="E2">
        <v>4639363</v>
      </c>
      <c r="F2">
        <v>1635977</v>
      </c>
      <c r="G2">
        <v>416</v>
      </c>
      <c r="H2" t="s">
        <v>10</v>
      </c>
      <c r="I2" s="3"/>
    </row>
    <row r="3" spans="1:9">
      <c r="A3">
        <v>1018</v>
      </c>
      <c r="B3" t="s">
        <v>11</v>
      </c>
      <c r="C3" t="s">
        <v>12</v>
      </c>
      <c r="D3" s="1">
        <v>45167</v>
      </c>
      <c r="E3">
        <v>4659611</v>
      </c>
      <c r="F3">
        <v>2338410</v>
      </c>
      <c r="G3">
        <v>102</v>
      </c>
      <c r="H3" t="s">
        <v>10</v>
      </c>
      <c r="I3" s="3"/>
    </row>
    <row r="4" spans="1:9">
      <c r="A4">
        <v>1036</v>
      </c>
      <c r="B4" t="s">
        <v>13</v>
      </c>
      <c r="C4" t="s">
        <v>14</v>
      </c>
      <c r="D4" s="1">
        <v>45137</v>
      </c>
      <c r="E4">
        <v>4131670</v>
      </c>
      <c r="F4">
        <v>441839</v>
      </c>
      <c r="G4">
        <v>440</v>
      </c>
      <c r="H4" t="s">
        <v>15</v>
      </c>
      <c r="I4" s="3"/>
    </row>
    <row r="5" spans="1:9">
      <c r="A5">
        <v>1083</v>
      </c>
      <c r="B5" t="s">
        <v>16</v>
      </c>
      <c r="C5" t="s">
        <v>17</v>
      </c>
      <c r="D5" s="1">
        <v>44957</v>
      </c>
      <c r="E5">
        <v>2003974</v>
      </c>
      <c r="F5">
        <v>1860224</v>
      </c>
      <c r="G5">
        <v>303</v>
      </c>
      <c r="H5" t="s">
        <v>18</v>
      </c>
      <c r="I5" s="3"/>
    </row>
    <row r="6" spans="1:9">
      <c r="A6">
        <v>1081</v>
      </c>
      <c r="B6" t="s">
        <v>11</v>
      </c>
      <c r="C6" t="s">
        <v>19</v>
      </c>
      <c r="D6" s="1">
        <v>44957</v>
      </c>
      <c r="E6">
        <v>2372343</v>
      </c>
      <c r="F6">
        <v>476215</v>
      </c>
      <c r="G6">
        <v>171</v>
      </c>
      <c r="H6" t="s">
        <v>15</v>
      </c>
      <c r="I6" s="3"/>
    </row>
    <row r="7" spans="1:9">
      <c r="A7">
        <v>1025</v>
      </c>
      <c r="B7" t="s">
        <v>11</v>
      </c>
      <c r="C7" t="s">
        <v>19</v>
      </c>
      <c r="D7" s="1">
        <v>45197</v>
      </c>
      <c r="E7">
        <v>3892400</v>
      </c>
      <c r="F7">
        <v>3666639</v>
      </c>
      <c r="G7">
        <v>354</v>
      </c>
      <c r="H7" t="s">
        <v>20</v>
      </c>
      <c r="I7" s="3"/>
    </row>
    <row r="8" spans="1:9">
      <c r="A8">
        <v>1010</v>
      </c>
      <c r="B8" t="s">
        <v>8</v>
      </c>
      <c r="C8" t="s">
        <v>14</v>
      </c>
      <c r="D8" s="1">
        <v>45077</v>
      </c>
      <c r="E8">
        <v>2949325</v>
      </c>
      <c r="F8">
        <v>3714836</v>
      </c>
      <c r="G8">
        <v>252</v>
      </c>
      <c r="H8" t="s">
        <v>18</v>
      </c>
      <c r="I8" s="3"/>
    </row>
    <row r="9" spans="1:9">
      <c r="A9">
        <v>1017</v>
      </c>
      <c r="B9" t="s">
        <v>16</v>
      </c>
      <c r="C9" t="s">
        <v>14</v>
      </c>
      <c r="D9" s="1">
        <v>45107</v>
      </c>
      <c r="E9">
        <v>3746226</v>
      </c>
      <c r="F9">
        <v>1845913</v>
      </c>
      <c r="G9">
        <v>349</v>
      </c>
      <c r="H9" t="s">
        <v>15</v>
      </c>
      <c r="I9" s="3"/>
    </row>
    <row r="10" spans="1:9">
      <c r="A10">
        <v>1017</v>
      </c>
      <c r="B10" t="s">
        <v>11</v>
      </c>
      <c r="C10" t="s">
        <v>19</v>
      </c>
      <c r="D10" s="1">
        <v>45167</v>
      </c>
      <c r="E10">
        <v>1705270</v>
      </c>
      <c r="F10">
        <v>2802690</v>
      </c>
      <c r="G10">
        <v>285</v>
      </c>
      <c r="H10" t="s">
        <v>20</v>
      </c>
      <c r="I10" s="3"/>
    </row>
    <row r="11" spans="1:9">
      <c r="A11">
        <v>1074</v>
      </c>
      <c r="B11" t="s">
        <v>21</v>
      </c>
      <c r="C11" t="s">
        <v>9</v>
      </c>
      <c r="D11" s="1">
        <v>44927</v>
      </c>
      <c r="E11">
        <v>3097663</v>
      </c>
      <c r="F11">
        <v>3201761</v>
      </c>
      <c r="G11">
        <v>432</v>
      </c>
      <c r="H11" t="s">
        <v>20</v>
      </c>
      <c r="I11" s="3"/>
    </row>
    <row r="12" spans="1:9">
      <c r="A12">
        <v>1090</v>
      </c>
      <c r="B12" t="s">
        <v>8</v>
      </c>
      <c r="C12" t="s">
        <v>17</v>
      </c>
      <c r="D12" s="1">
        <v>45257</v>
      </c>
      <c r="E12">
        <v>1123919</v>
      </c>
      <c r="F12">
        <v>3659977</v>
      </c>
      <c r="G12">
        <v>11</v>
      </c>
      <c r="H12" t="s">
        <v>18</v>
      </c>
      <c r="I12" s="3"/>
    </row>
    <row r="13" spans="1:9">
      <c r="A13">
        <v>1100</v>
      </c>
      <c r="B13" t="s">
        <v>21</v>
      </c>
      <c r="C13" t="s">
        <v>9</v>
      </c>
      <c r="D13" s="1">
        <v>45197</v>
      </c>
      <c r="E13">
        <v>693858</v>
      </c>
      <c r="F13">
        <v>3013231</v>
      </c>
      <c r="G13">
        <v>122</v>
      </c>
      <c r="H13" t="s">
        <v>15</v>
      </c>
      <c r="I13" s="3"/>
    </row>
    <row r="14" spans="1:9">
      <c r="A14">
        <v>1045</v>
      </c>
      <c r="B14" t="s">
        <v>16</v>
      </c>
      <c r="C14" t="s">
        <v>9</v>
      </c>
      <c r="D14" s="1">
        <v>45197</v>
      </c>
      <c r="E14">
        <v>4023427</v>
      </c>
      <c r="F14">
        <v>3516451</v>
      </c>
      <c r="G14">
        <v>303</v>
      </c>
      <c r="H14" t="s">
        <v>15</v>
      </c>
      <c r="I14" s="3"/>
    </row>
    <row r="15" spans="1:9">
      <c r="A15">
        <v>1019</v>
      </c>
      <c r="B15" t="s">
        <v>8</v>
      </c>
      <c r="C15" t="s">
        <v>17</v>
      </c>
      <c r="D15" s="1">
        <v>44927</v>
      </c>
      <c r="E15">
        <v>3252888</v>
      </c>
      <c r="F15">
        <v>696422</v>
      </c>
      <c r="G15">
        <v>110</v>
      </c>
      <c r="H15" t="s">
        <v>10</v>
      </c>
      <c r="I15" s="3"/>
    </row>
    <row r="16" spans="1:9">
      <c r="A16">
        <v>1073</v>
      </c>
      <c r="B16" t="s">
        <v>21</v>
      </c>
      <c r="C16" t="s">
        <v>12</v>
      </c>
      <c r="D16" s="1">
        <v>45077</v>
      </c>
      <c r="E16">
        <v>1178459</v>
      </c>
      <c r="F16">
        <v>1141091</v>
      </c>
      <c r="G16">
        <v>445</v>
      </c>
      <c r="H16" t="s">
        <v>18</v>
      </c>
      <c r="I16" s="3"/>
    </row>
    <row r="17" spans="1:9">
      <c r="A17">
        <v>1017</v>
      </c>
      <c r="B17" t="s">
        <v>13</v>
      </c>
      <c r="C17" t="s">
        <v>9</v>
      </c>
      <c r="D17" s="1">
        <v>45167</v>
      </c>
      <c r="E17">
        <v>1607913</v>
      </c>
      <c r="F17">
        <v>2430792</v>
      </c>
      <c r="G17">
        <v>311</v>
      </c>
      <c r="H17" t="s">
        <v>18</v>
      </c>
      <c r="I17" s="3"/>
    </row>
    <row r="18" spans="1:9">
      <c r="A18">
        <v>1098</v>
      </c>
      <c r="B18" t="s">
        <v>11</v>
      </c>
      <c r="C18" t="s">
        <v>9</v>
      </c>
      <c r="D18" s="1">
        <v>44987</v>
      </c>
      <c r="E18">
        <v>4322908</v>
      </c>
      <c r="F18">
        <v>2767619</v>
      </c>
      <c r="G18">
        <v>242</v>
      </c>
      <c r="H18" t="s">
        <v>10</v>
      </c>
      <c r="I18" s="3"/>
    </row>
    <row r="19" spans="1:9">
      <c r="A19">
        <v>1068</v>
      </c>
      <c r="B19" t="s">
        <v>16</v>
      </c>
      <c r="C19" t="s">
        <v>12</v>
      </c>
      <c r="D19" s="1">
        <v>45077</v>
      </c>
      <c r="E19">
        <v>2771686</v>
      </c>
      <c r="F19">
        <v>517378</v>
      </c>
      <c r="G19">
        <v>480</v>
      </c>
      <c r="H19" t="s">
        <v>10</v>
      </c>
      <c r="I19" s="3"/>
    </row>
    <row r="20" spans="1:9">
      <c r="A20">
        <v>1087</v>
      </c>
      <c r="B20" t="s">
        <v>21</v>
      </c>
      <c r="C20" t="s">
        <v>14</v>
      </c>
      <c r="D20" s="1">
        <v>45197</v>
      </c>
      <c r="E20">
        <v>342549</v>
      </c>
      <c r="F20">
        <v>2569056</v>
      </c>
      <c r="G20">
        <v>221</v>
      </c>
      <c r="H20" t="s">
        <v>20</v>
      </c>
      <c r="I20" s="3"/>
    </row>
    <row r="21" spans="1:9">
      <c r="A21">
        <v>1001</v>
      </c>
      <c r="B21" t="s">
        <v>11</v>
      </c>
      <c r="C21" t="s">
        <v>17</v>
      </c>
      <c r="D21" s="1">
        <v>44957</v>
      </c>
      <c r="E21">
        <v>2803387</v>
      </c>
      <c r="G21">
        <v>43</v>
      </c>
      <c r="H21" t="s">
        <v>10</v>
      </c>
      <c r="I21" s="3"/>
    </row>
    <row r="22" spans="1:9">
      <c r="A22">
        <v>1000</v>
      </c>
      <c r="B22" t="s">
        <v>13</v>
      </c>
      <c r="C22" t="s">
        <v>14</v>
      </c>
      <c r="D22" s="1">
        <v>45167</v>
      </c>
      <c r="E22">
        <v>473390</v>
      </c>
      <c r="F22">
        <v>1692324</v>
      </c>
      <c r="G22">
        <v>474</v>
      </c>
      <c r="H22" t="s">
        <v>20</v>
      </c>
      <c r="I22" s="3"/>
    </row>
    <row r="23" spans="1:9">
      <c r="A23">
        <v>1071</v>
      </c>
      <c r="B23" t="s">
        <v>21</v>
      </c>
      <c r="C23" t="s">
        <v>9</v>
      </c>
      <c r="D23" s="1">
        <v>44987</v>
      </c>
      <c r="E23">
        <v>4898368</v>
      </c>
      <c r="F23">
        <v>3380191</v>
      </c>
      <c r="G23">
        <v>461</v>
      </c>
      <c r="H23" t="s">
        <v>20</v>
      </c>
      <c r="I23" s="3"/>
    </row>
    <row r="24" spans="1:9">
      <c r="A24">
        <v>1027</v>
      </c>
      <c r="B24" t="s">
        <v>8</v>
      </c>
      <c r="C24" t="s">
        <v>14</v>
      </c>
      <c r="D24" s="1">
        <v>45197</v>
      </c>
      <c r="E24">
        <v>2898366</v>
      </c>
      <c r="F24">
        <v>3450001</v>
      </c>
      <c r="G24">
        <v>17</v>
      </c>
      <c r="H24" t="s">
        <v>10</v>
      </c>
      <c r="I24" s="3"/>
    </row>
    <row r="25" spans="1:9">
      <c r="A25">
        <v>1010</v>
      </c>
      <c r="B25" t="s">
        <v>8</v>
      </c>
      <c r="C25" t="s">
        <v>9</v>
      </c>
      <c r="D25" s="1">
        <v>45077</v>
      </c>
      <c r="E25">
        <v>4027137</v>
      </c>
      <c r="F25">
        <v>2184787</v>
      </c>
      <c r="G25">
        <v>406</v>
      </c>
      <c r="H25" t="s">
        <v>10</v>
      </c>
      <c r="I25" s="3"/>
    </row>
    <row r="26" spans="1:9">
      <c r="A26">
        <v>1054</v>
      </c>
      <c r="B26" t="s">
        <v>11</v>
      </c>
      <c r="C26" t="s">
        <v>22</v>
      </c>
      <c r="D26" s="1">
        <v>45167</v>
      </c>
      <c r="E26">
        <v>3869788</v>
      </c>
      <c r="F26">
        <v>208069</v>
      </c>
      <c r="G26">
        <v>206</v>
      </c>
      <c r="H26" t="s">
        <v>20</v>
      </c>
      <c r="I26" s="3"/>
    </row>
    <row r="27" spans="1:9">
      <c r="A27">
        <v>1004</v>
      </c>
      <c r="B27" t="s">
        <v>8</v>
      </c>
      <c r="C27" t="s">
        <v>14</v>
      </c>
      <c r="D27" s="1">
        <v>45137</v>
      </c>
      <c r="E27">
        <v>2487481</v>
      </c>
      <c r="F27">
        <v>995892</v>
      </c>
      <c r="G27">
        <v>240</v>
      </c>
      <c r="H27" t="s">
        <v>18</v>
      </c>
      <c r="I27" s="3"/>
    </row>
    <row r="28" spans="1:9">
      <c r="A28">
        <v>1064</v>
      </c>
      <c r="B28" t="s">
        <v>16</v>
      </c>
      <c r="C28" t="s">
        <v>17</v>
      </c>
      <c r="D28" s="1">
        <v>45227</v>
      </c>
      <c r="E28">
        <v>2260935</v>
      </c>
      <c r="F28">
        <v>3491578</v>
      </c>
      <c r="G28">
        <v>357</v>
      </c>
      <c r="H28" t="s">
        <v>20</v>
      </c>
      <c r="I28" s="3"/>
    </row>
    <row r="29" spans="1:9">
      <c r="A29">
        <v>1062</v>
      </c>
      <c r="B29" t="s">
        <v>11</v>
      </c>
      <c r="C29" t="s">
        <v>9</v>
      </c>
      <c r="D29" s="1">
        <v>45047</v>
      </c>
      <c r="E29">
        <v>238388</v>
      </c>
      <c r="F29">
        <v>108337</v>
      </c>
      <c r="G29">
        <v>257</v>
      </c>
      <c r="H29" t="s">
        <v>20</v>
      </c>
      <c r="I29" s="3"/>
    </row>
    <row r="30" spans="1:9">
      <c r="A30">
        <v>1009</v>
      </c>
      <c r="B30" t="s">
        <v>8</v>
      </c>
      <c r="C30" t="s">
        <v>9</v>
      </c>
      <c r="D30" s="1">
        <v>45077</v>
      </c>
      <c r="E30">
        <v>2426489</v>
      </c>
      <c r="F30">
        <v>1218472</v>
      </c>
      <c r="G30">
        <v>292</v>
      </c>
      <c r="H30" t="s">
        <v>18</v>
      </c>
      <c r="I30" s="3"/>
    </row>
    <row r="31" spans="1:9">
      <c r="A31">
        <v>1100</v>
      </c>
      <c r="B31" t="s">
        <v>8</v>
      </c>
      <c r="C31" t="s">
        <v>14</v>
      </c>
      <c r="D31" s="1">
        <v>44957</v>
      </c>
      <c r="E31">
        <v>3530338</v>
      </c>
      <c r="F31">
        <v>3624978</v>
      </c>
      <c r="G31">
        <v>358</v>
      </c>
      <c r="H31" t="s">
        <v>18</v>
      </c>
      <c r="I31" s="3"/>
    </row>
    <row r="32" spans="1:9">
      <c r="A32">
        <v>1055</v>
      </c>
      <c r="B32" t="s">
        <v>8</v>
      </c>
      <c r="C32" t="s">
        <v>19</v>
      </c>
      <c r="D32" s="1">
        <v>45077</v>
      </c>
      <c r="E32">
        <v>4773967</v>
      </c>
      <c r="F32">
        <v>1298004</v>
      </c>
      <c r="G32">
        <v>420</v>
      </c>
      <c r="H32" t="s">
        <v>10</v>
      </c>
      <c r="I32" s="3"/>
    </row>
    <row r="33" spans="1:9">
      <c r="A33">
        <v>1002</v>
      </c>
      <c r="B33" t="s">
        <v>13</v>
      </c>
      <c r="C33" t="s">
        <v>9</v>
      </c>
      <c r="D33" s="1">
        <v>45077</v>
      </c>
      <c r="E33">
        <v>108728</v>
      </c>
      <c r="F33">
        <v>3469585</v>
      </c>
      <c r="G33">
        <v>234</v>
      </c>
      <c r="H33" t="s">
        <v>15</v>
      </c>
      <c r="I33" s="3"/>
    </row>
    <row r="34" spans="1:9">
      <c r="A34">
        <v>1061</v>
      </c>
      <c r="B34" t="s">
        <v>16</v>
      </c>
      <c r="C34" t="s">
        <v>12</v>
      </c>
      <c r="D34" s="1">
        <v>45077</v>
      </c>
      <c r="E34">
        <v>-2549824</v>
      </c>
      <c r="F34">
        <v>2229732</v>
      </c>
      <c r="G34">
        <v>52</v>
      </c>
      <c r="H34" t="s">
        <v>18</v>
      </c>
      <c r="I34" s="3"/>
    </row>
    <row r="35" spans="1:9">
      <c r="A35">
        <v>1096</v>
      </c>
      <c r="B35" t="s">
        <v>13</v>
      </c>
      <c r="C35" t="s">
        <v>17</v>
      </c>
      <c r="D35" s="1">
        <v>44927</v>
      </c>
      <c r="E35">
        <v>4317765</v>
      </c>
      <c r="F35">
        <v>1365869</v>
      </c>
      <c r="G35">
        <v>153</v>
      </c>
      <c r="H35" t="s">
        <v>18</v>
      </c>
      <c r="I35" s="3"/>
    </row>
    <row r="36" spans="1:9">
      <c r="A36">
        <v>1029</v>
      </c>
      <c r="B36" t="s">
        <v>21</v>
      </c>
      <c r="C36" t="s">
        <v>19</v>
      </c>
      <c r="D36" s="1">
        <v>45167</v>
      </c>
      <c r="E36">
        <v>866060</v>
      </c>
      <c r="F36">
        <v>1027675</v>
      </c>
      <c r="G36">
        <v>447</v>
      </c>
      <c r="H36" t="s">
        <v>15</v>
      </c>
      <c r="I36" s="3"/>
    </row>
    <row r="37" spans="1:9">
      <c r="A37">
        <v>1090</v>
      </c>
      <c r="B37" t="s">
        <v>21</v>
      </c>
      <c r="C37" t="s">
        <v>9</v>
      </c>
      <c r="D37" s="1">
        <v>44927</v>
      </c>
      <c r="E37">
        <v>3140289</v>
      </c>
      <c r="F37">
        <v>399553</v>
      </c>
      <c r="G37">
        <v>390</v>
      </c>
      <c r="H37" t="s">
        <v>10</v>
      </c>
      <c r="I37" s="3"/>
    </row>
    <row r="38" spans="1:9">
      <c r="A38">
        <v>1001</v>
      </c>
      <c r="B38" t="s">
        <v>13</v>
      </c>
      <c r="C38" t="s">
        <v>12</v>
      </c>
      <c r="D38" s="1">
        <v>44957</v>
      </c>
      <c r="E38">
        <v>1307384</v>
      </c>
      <c r="F38">
        <v>2553790</v>
      </c>
      <c r="G38">
        <v>77</v>
      </c>
      <c r="H38" t="s">
        <v>20</v>
      </c>
      <c r="I38" s="3"/>
    </row>
    <row r="39" spans="1:9">
      <c r="A39">
        <v>1009</v>
      </c>
      <c r="B39" t="s">
        <v>8</v>
      </c>
      <c r="C39" t="s">
        <v>17</v>
      </c>
      <c r="D39" s="1">
        <v>45197</v>
      </c>
      <c r="E39">
        <v>3115906</v>
      </c>
      <c r="F39">
        <v>361418</v>
      </c>
      <c r="G39">
        <v>327</v>
      </c>
      <c r="H39" t="s">
        <v>18</v>
      </c>
      <c r="I39" s="3"/>
    </row>
    <row r="40" spans="1:9">
      <c r="A40">
        <v>1016</v>
      </c>
      <c r="B40" t="s">
        <v>16</v>
      </c>
      <c r="C40" t="s">
        <v>17</v>
      </c>
      <c r="D40" s="1">
        <v>44987</v>
      </c>
      <c r="E40">
        <v>673917</v>
      </c>
      <c r="F40">
        <v>2643695</v>
      </c>
      <c r="G40">
        <v>403</v>
      </c>
      <c r="H40" t="s">
        <v>18</v>
      </c>
      <c r="I40" s="3"/>
    </row>
    <row r="41" spans="1:9">
      <c r="A41">
        <v>1038</v>
      </c>
      <c r="B41" t="s">
        <v>13</v>
      </c>
      <c r="C41" t="s">
        <v>19</v>
      </c>
      <c r="D41" s="1">
        <v>44987</v>
      </c>
      <c r="E41">
        <v>2367694</v>
      </c>
      <c r="G41">
        <v>333</v>
      </c>
      <c r="H41" t="s">
        <v>20</v>
      </c>
      <c r="I41" s="3"/>
    </row>
    <row r="42" spans="1:9">
      <c r="A42">
        <v>1055</v>
      </c>
      <c r="B42" t="s">
        <v>8</v>
      </c>
      <c r="C42" t="s">
        <v>12</v>
      </c>
      <c r="D42" s="1">
        <v>44957</v>
      </c>
      <c r="E42">
        <v>3837075</v>
      </c>
      <c r="F42">
        <v>901178</v>
      </c>
      <c r="G42">
        <v>192</v>
      </c>
      <c r="H42" t="s">
        <v>15</v>
      </c>
      <c r="I42" s="3"/>
    </row>
    <row r="43" spans="1:9">
      <c r="A43">
        <v>1091</v>
      </c>
      <c r="B43" t="s">
        <v>21</v>
      </c>
      <c r="C43" t="s">
        <v>17</v>
      </c>
      <c r="D43" s="1">
        <v>45197</v>
      </c>
      <c r="E43">
        <v>4259609</v>
      </c>
      <c r="F43">
        <v>3549750</v>
      </c>
      <c r="G43">
        <v>189</v>
      </c>
      <c r="H43" t="s">
        <v>15</v>
      </c>
      <c r="I43" s="3"/>
    </row>
    <row r="44" spans="1:9">
      <c r="A44">
        <v>1078</v>
      </c>
      <c r="B44" t="s">
        <v>8</v>
      </c>
      <c r="C44" t="s">
        <v>9</v>
      </c>
      <c r="D44" s="1">
        <v>45017</v>
      </c>
      <c r="E44">
        <v>3721080</v>
      </c>
      <c r="F44">
        <v>2734770</v>
      </c>
      <c r="G44">
        <v>237</v>
      </c>
      <c r="H44" t="s">
        <v>15</v>
      </c>
      <c r="I44" s="3"/>
    </row>
    <row r="45" spans="1:9">
      <c r="A45">
        <v>1094</v>
      </c>
      <c r="B45" t="s">
        <v>16</v>
      </c>
      <c r="C45" t="s">
        <v>14</v>
      </c>
      <c r="D45" s="1">
        <v>44957</v>
      </c>
      <c r="E45">
        <v>3259910</v>
      </c>
      <c r="F45">
        <v>835637</v>
      </c>
      <c r="G45">
        <v>10</v>
      </c>
      <c r="H45" t="s">
        <v>20</v>
      </c>
      <c r="I45" s="3"/>
    </row>
    <row r="46" spans="1:9">
      <c r="A46">
        <v>1003</v>
      </c>
      <c r="B46" t="s">
        <v>11</v>
      </c>
      <c r="C46" t="s">
        <v>9</v>
      </c>
      <c r="D46" s="1">
        <v>45167</v>
      </c>
      <c r="E46">
        <v>43507540</v>
      </c>
      <c r="F46">
        <v>503857</v>
      </c>
      <c r="G46">
        <v>40</v>
      </c>
      <c r="H46" t="s">
        <v>15</v>
      </c>
      <c r="I46" s="3"/>
    </row>
    <row r="47" spans="1:9">
      <c r="A47">
        <v>1012</v>
      </c>
      <c r="B47" t="s">
        <v>13</v>
      </c>
      <c r="C47" t="s">
        <v>14</v>
      </c>
      <c r="D47" s="1">
        <v>45227</v>
      </c>
      <c r="E47">
        <v>2143741</v>
      </c>
      <c r="F47">
        <v>1528912</v>
      </c>
      <c r="G47">
        <v>285</v>
      </c>
      <c r="H47" t="s">
        <v>15</v>
      </c>
      <c r="I47" s="3"/>
    </row>
    <row r="48" spans="1:9">
      <c r="A48">
        <v>1056</v>
      </c>
      <c r="B48" t="s">
        <v>8</v>
      </c>
      <c r="C48" t="s">
        <v>12</v>
      </c>
      <c r="D48" s="1">
        <v>44927</v>
      </c>
      <c r="E48">
        <v>3392269</v>
      </c>
      <c r="F48">
        <v>2491954</v>
      </c>
      <c r="G48">
        <v>197</v>
      </c>
      <c r="H48" t="s">
        <v>18</v>
      </c>
      <c r="I48" s="3"/>
    </row>
    <row r="49" spans="1:9">
      <c r="A49">
        <v>1096</v>
      </c>
      <c r="B49" t="s">
        <v>11</v>
      </c>
      <c r="C49" t="s">
        <v>19</v>
      </c>
      <c r="D49" s="1">
        <v>44987</v>
      </c>
      <c r="E49">
        <v>4548261</v>
      </c>
      <c r="F49">
        <v>2604791</v>
      </c>
      <c r="G49">
        <v>367</v>
      </c>
      <c r="H49" t="s">
        <v>15</v>
      </c>
      <c r="I49" s="3"/>
    </row>
    <row r="50" spans="1:9">
      <c r="A50">
        <v>1037</v>
      </c>
      <c r="B50" t="s">
        <v>16</v>
      </c>
      <c r="C50" t="s">
        <v>9</v>
      </c>
      <c r="D50" s="1">
        <v>45077</v>
      </c>
      <c r="E50">
        <v>787535</v>
      </c>
      <c r="F50">
        <v>3992425</v>
      </c>
      <c r="G50">
        <v>177</v>
      </c>
      <c r="H50" t="s">
        <v>10</v>
      </c>
      <c r="I50" s="3"/>
    </row>
    <row r="51" spans="1:9">
      <c r="A51">
        <v>1094</v>
      </c>
      <c r="B51" t="s">
        <v>21</v>
      </c>
      <c r="C51" t="s">
        <v>22</v>
      </c>
      <c r="D51" s="1">
        <v>45167</v>
      </c>
      <c r="E51">
        <v>3419441</v>
      </c>
      <c r="F51">
        <v>3605049</v>
      </c>
      <c r="G51">
        <v>110</v>
      </c>
      <c r="H51" t="s">
        <v>18</v>
      </c>
      <c r="I51" s="3"/>
    </row>
    <row r="52" spans="1:9">
      <c r="A52">
        <v>1028</v>
      </c>
      <c r="B52" t="s">
        <v>11</v>
      </c>
      <c r="C52" t="s">
        <v>9</v>
      </c>
      <c r="D52" s="1">
        <v>45137</v>
      </c>
      <c r="E52">
        <v>3644041</v>
      </c>
      <c r="F52">
        <v>3646295</v>
      </c>
      <c r="G52">
        <v>284</v>
      </c>
      <c r="H52" t="s">
        <v>18</v>
      </c>
      <c r="I52" s="3"/>
    </row>
    <row r="53" spans="1:9">
      <c r="A53">
        <v>1063</v>
      </c>
      <c r="B53" t="s">
        <v>13</v>
      </c>
      <c r="C53" t="s">
        <v>19</v>
      </c>
      <c r="D53" s="1">
        <v>45017</v>
      </c>
      <c r="E53">
        <v>674344</v>
      </c>
      <c r="F53">
        <v>3016380</v>
      </c>
      <c r="G53">
        <v>109</v>
      </c>
      <c r="H53" t="s">
        <v>18</v>
      </c>
      <c r="I53" s="3"/>
    </row>
    <row r="54" spans="1:9">
      <c r="A54">
        <v>1042</v>
      </c>
      <c r="B54" t="s">
        <v>21</v>
      </c>
      <c r="C54" t="s">
        <v>17</v>
      </c>
      <c r="D54" s="1">
        <v>45107</v>
      </c>
      <c r="E54">
        <v>3459022</v>
      </c>
      <c r="F54">
        <v>1253354</v>
      </c>
      <c r="G54">
        <v>384</v>
      </c>
      <c r="H54" t="s">
        <v>10</v>
      </c>
      <c r="I54" s="3"/>
    </row>
    <row r="55" spans="1:9">
      <c r="A55">
        <v>1013</v>
      </c>
      <c r="B55" t="s">
        <v>11</v>
      </c>
      <c r="C55" t="s">
        <v>12</v>
      </c>
      <c r="D55" s="1">
        <v>44927</v>
      </c>
      <c r="E55">
        <v>4374471</v>
      </c>
      <c r="F55">
        <v>3235056</v>
      </c>
      <c r="G55">
        <v>479</v>
      </c>
      <c r="H55" t="s">
        <v>20</v>
      </c>
      <c r="I55" s="3"/>
    </row>
    <row r="56" spans="1:9">
      <c r="A56">
        <v>1082</v>
      </c>
      <c r="B56" t="s">
        <v>11</v>
      </c>
      <c r="C56" t="s">
        <v>14</v>
      </c>
      <c r="D56" s="1">
        <v>45047</v>
      </c>
      <c r="E56">
        <v>1958707</v>
      </c>
      <c r="F56">
        <v>1204833</v>
      </c>
      <c r="G56">
        <v>99</v>
      </c>
      <c r="H56" t="s">
        <v>20</v>
      </c>
      <c r="I56" s="3"/>
    </row>
    <row r="57" spans="1:9">
      <c r="A57">
        <v>1028</v>
      </c>
      <c r="B57" t="s">
        <v>8</v>
      </c>
      <c r="C57" t="s">
        <v>14</v>
      </c>
      <c r="D57" s="1">
        <v>44927</v>
      </c>
      <c r="E57">
        <v>233000</v>
      </c>
      <c r="F57">
        <v>2472242</v>
      </c>
      <c r="G57">
        <v>261</v>
      </c>
      <c r="H57" t="s">
        <v>10</v>
      </c>
      <c r="I57" s="3"/>
    </row>
    <row r="58" spans="1:9">
      <c r="A58">
        <v>1066</v>
      </c>
      <c r="B58" t="s">
        <v>8</v>
      </c>
      <c r="C58" t="s">
        <v>9</v>
      </c>
      <c r="D58" s="1">
        <v>44927</v>
      </c>
      <c r="E58">
        <v>4095260</v>
      </c>
      <c r="F58">
        <v>2817566</v>
      </c>
      <c r="G58">
        <v>377</v>
      </c>
      <c r="H58" t="s">
        <v>15</v>
      </c>
      <c r="I58" s="3"/>
    </row>
    <row r="59" spans="1:9">
      <c r="A59">
        <v>1072</v>
      </c>
      <c r="B59" t="s">
        <v>8</v>
      </c>
      <c r="C59" t="s">
        <v>17</v>
      </c>
      <c r="D59" s="1">
        <v>45047</v>
      </c>
      <c r="E59">
        <v>347863</v>
      </c>
      <c r="F59">
        <v>1445218</v>
      </c>
      <c r="G59">
        <v>466</v>
      </c>
      <c r="H59" t="s">
        <v>18</v>
      </c>
      <c r="I59" s="3"/>
    </row>
    <row r="60" spans="1:9">
      <c r="A60">
        <v>1001</v>
      </c>
      <c r="B60" t="s">
        <v>21</v>
      </c>
      <c r="C60" t="s">
        <v>14</v>
      </c>
      <c r="D60" s="1">
        <v>45197</v>
      </c>
      <c r="E60">
        <v>4887901</v>
      </c>
      <c r="F60">
        <v>3298398</v>
      </c>
      <c r="G60">
        <v>50</v>
      </c>
      <c r="H60" t="s">
        <v>18</v>
      </c>
      <c r="I60" s="3"/>
    </row>
    <row r="61" spans="1:9">
      <c r="A61">
        <v>1014</v>
      </c>
      <c r="B61" t="s">
        <v>21</v>
      </c>
      <c r="C61" t="s">
        <v>12</v>
      </c>
      <c r="D61" s="1">
        <v>45257</v>
      </c>
      <c r="E61">
        <v>4100616</v>
      </c>
      <c r="G61">
        <v>450</v>
      </c>
      <c r="H61" t="s">
        <v>20</v>
      </c>
      <c r="I61" s="3"/>
    </row>
    <row r="62" spans="1:9">
      <c r="A62">
        <v>1083</v>
      </c>
      <c r="B62" t="s">
        <v>11</v>
      </c>
      <c r="C62" t="s">
        <v>9</v>
      </c>
      <c r="D62" s="1">
        <v>45017</v>
      </c>
      <c r="E62">
        <v>2357536</v>
      </c>
      <c r="F62">
        <v>974320</v>
      </c>
      <c r="G62">
        <v>276</v>
      </c>
      <c r="H62" t="s">
        <v>20</v>
      </c>
      <c r="I62" s="3"/>
    </row>
    <row r="63" spans="1:9">
      <c r="A63">
        <v>1046</v>
      </c>
      <c r="B63" t="s">
        <v>8</v>
      </c>
      <c r="C63" t="s">
        <v>19</v>
      </c>
      <c r="D63" s="1">
        <v>45107</v>
      </c>
      <c r="E63">
        <v>2035596</v>
      </c>
      <c r="F63">
        <v>823269</v>
      </c>
      <c r="G63">
        <v>94</v>
      </c>
      <c r="H63" t="s">
        <v>18</v>
      </c>
      <c r="I63" s="3"/>
    </row>
    <row r="64" spans="1:9">
      <c r="A64">
        <v>1005</v>
      </c>
      <c r="B64" t="s">
        <v>11</v>
      </c>
      <c r="C64" t="s">
        <v>17</v>
      </c>
      <c r="D64" s="1">
        <v>45167</v>
      </c>
      <c r="E64">
        <v>3932985</v>
      </c>
      <c r="F64">
        <v>2319930</v>
      </c>
      <c r="G64">
        <v>304</v>
      </c>
      <c r="H64" t="s">
        <v>10</v>
      </c>
      <c r="I64" s="3"/>
    </row>
    <row r="65" spans="1:9">
      <c r="A65">
        <v>1093</v>
      </c>
      <c r="B65" t="s">
        <v>21</v>
      </c>
      <c r="C65" t="s">
        <v>19</v>
      </c>
      <c r="D65" s="1">
        <v>45227</v>
      </c>
      <c r="E65">
        <v>4698887</v>
      </c>
      <c r="F65">
        <v>3472871</v>
      </c>
      <c r="G65">
        <v>216</v>
      </c>
      <c r="H65" t="s">
        <v>10</v>
      </c>
      <c r="I65" s="3"/>
    </row>
    <row r="66" spans="1:9">
      <c r="A66">
        <v>1011</v>
      </c>
      <c r="B66" t="s">
        <v>8</v>
      </c>
      <c r="C66" t="s">
        <v>17</v>
      </c>
      <c r="D66" s="1">
        <v>45257</v>
      </c>
      <c r="E66">
        <v>3898583</v>
      </c>
      <c r="F66">
        <v>1713496</v>
      </c>
      <c r="G66">
        <v>279</v>
      </c>
      <c r="H66" t="s">
        <v>10</v>
      </c>
      <c r="I66" s="3"/>
    </row>
    <row r="67" spans="1:9">
      <c r="A67">
        <v>1033</v>
      </c>
      <c r="B67" t="s">
        <v>16</v>
      </c>
      <c r="C67" t="s">
        <v>9</v>
      </c>
      <c r="D67" s="1">
        <v>45137</v>
      </c>
      <c r="E67">
        <v>-1570630</v>
      </c>
      <c r="F67">
        <v>3821201</v>
      </c>
      <c r="G67">
        <v>26</v>
      </c>
      <c r="H67" t="s">
        <v>15</v>
      </c>
      <c r="I67" s="3"/>
    </row>
    <row r="68" spans="1:9">
      <c r="A68">
        <v>1098</v>
      </c>
      <c r="B68" t="s">
        <v>21</v>
      </c>
      <c r="C68" t="s">
        <v>17</v>
      </c>
      <c r="D68" s="1">
        <v>45107</v>
      </c>
      <c r="E68">
        <v>4822164</v>
      </c>
      <c r="F68">
        <v>1471696</v>
      </c>
      <c r="G68">
        <v>80</v>
      </c>
      <c r="H68" t="s">
        <v>10</v>
      </c>
      <c r="I68" s="3"/>
    </row>
    <row r="69" spans="1:9">
      <c r="A69">
        <v>1053</v>
      </c>
      <c r="B69" t="s">
        <v>13</v>
      </c>
      <c r="C69" t="s">
        <v>19</v>
      </c>
      <c r="D69" s="1">
        <v>45257</v>
      </c>
      <c r="E69">
        <v>2398187</v>
      </c>
      <c r="F69">
        <v>1934039</v>
      </c>
      <c r="G69">
        <v>71</v>
      </c>
      <c r="H69" t="s">
        <v>18</v>
      </c>
      <c r="I69" s="3"/>
    </row>
    <row r="70" spans="1:9">
      <c r="A70">
        <v>1046</v>
      </c>
      <c r="B70" t="s">
        <v>8</v>
      </c>
      <c r="C70" t="s">
        <v>19</v>
      </c>
      <c r="D70" s="1">
        <v>45257</v>
      </c>
      <c r="E70">
        <v>895001</v>
      </c>
      <c r="F70">
        <v>1991948</v>
      </c>
      <c r="G70">
        <v>181</v>
      </c>
      <c r="H70" t="s">
        <v>15</v>
      </c>
      <c r="I70" s="3"/>
    </row>
    <row r="71" spans="1:9">
      <c r="A71">
        <v>1077</v>
      </c>
      <c r="B71" t="s">
        <v>11</v>
      </c>
      <c r="C71" t="s">
        <v>17</v>
      </c>
      <c r="D71" s="1">
        <v>45077</v>
      </c>
      <c r="E71">
        <v>1883842</v>
      </c>
      <c r="F71">
        <v>2721601</v>
      </c>
      <c r="G71">
        <v>305</v>
      </c>
      <c r="H71" t="s">
        <v>10</v>
      </c>
      <c r="I71" s="3"/>
    </row>
    <row r="72" spans="1:9">
      <c r="A72">
        <v>1025</v>
      </c>
      <c r="B72" t="s">
        <v>8</v>
      </c>
      <c r="C72" t="s">
        <v>12</v>
      </c>
      <c r="D72" s="1">
        <v>45047</v>
      </c>
      <c r="E72">
        <v>2299853</v>
      </c>
      <c r="F72">
        <v>1787084</v>
      </c>
      <c r="G72">
        <v>314</v>
      </c>
      <c r="H72" t="s">
        <v>15</v>
      </c>
      <c r="I72" s="3"/>
    </row>
    <row r="73" spans="1:9">
      <c r="A73">
        <v>1045</v>
      </c>
      <c r="B73" t="s">
        <v>8</v>
      </c>
      <c r="C73" t="s">
        <v>14</v>
      </c>
      <c r="D73" s="1">
        <v>44957</v>
      </c>
      <c r="E73">
        <v>2666739</v>
      </c>
      <c r="F73">
        <v>2715884</v>
      </c>
      <c r="G73">
        <v>440</v>
      </c>
      <c r="H73" t="s">
        <v>10</v>
      </c>
      <c r="I73" s="3"/>
    </row>
    <row r="74" spans="1:9">
      <c r="A74">
        <v>1006</v>
      </c>
      <c r="B74" t="s">
        <v>21</v>
      </c>
      <c r="C74" t="s">
        <v>12</v>
      </c>
      <c r="D74" s="1">
        <v>45077</v>
      </c>
      <c r="E74">
        <v>4296082</v>
      </c>
      <c r="F74">
        <v>3985302</v>
      </c>
      <c r="G74">
        <v>293</v>
      </c>
      <c r="H74" t="s">
        <v>18</v>
      </c>
      <c r="I74" s="3"/>
    </row>
    <row r="75" spans="1:9">
      <c r="A75">
        <v>1059</v>
      </c>
      <c r="B75" t="s">
        <v>11</v>
      </c>
      <c r="C75" t="s">
        <v>17</v>
      </c>
      <c r="D75" s="1">
        <v>44987</v>
      </c>
      <c r="E75">
        <v>1775481</v>
      </c>
      <c r="F75">
        <v>2363114</v>
      </c>
      <c r="G75">
        <v>349</v>
      </c>
      <c r="H75" t="s">
        <v>20</v>
      </c>
      <c r="I75" s="3"/>
    </row>
    <row r="76" spans="1:9">
      <c r="A76">
        <v>1058</v>
      </c>
      <c r="B76" t="s">
        <v>11</v>
      </c>
      <c r="C76" t="s">
        <v>22</v>
      </c>
      <c r="D76" s="1">
        <v>45017</v>
      </c>
      <c r="E76">
        <v>3332234</v>
      </c>
      <c r="F76">
        <v>62805</v>
      </c>
      <c r="G76">
        <v>160</v>
      </c>
      <c r="H76" t="s">
        <v>10</v>
      </c>
      <c r="I76" s="3"/>
    </row>
    <row r="77" spans="1:9">
      <c r="A77">
        <v>1084</v>
      </c>
      <c r="B77" t="s">
        <v>16</v>
      </c>
      <c r="C77" t="s">
        <v>17</v>
      </c>
      <c r="D77" s="1">
        <v>45077</v>
      </c>
      <c r="E77">
        <v>1502602</v>
      </c>
      <c r="F77">
        <v>3992164</v>
      </c>
      <c r="G77">
        <v>237</v>
      </c>
      <c r="H77" t="s">
        <v>20</v>
      </c>
      <c r="I77" s="3"/>
    </row>
    <row r="78" spans="1:9">
      <c r="A78">
        <v>1063</v>
      </c>
      <c r="B78" t="s">
        <v>21</v>
      </c>
      <c r="C78" t="s">
        <v>19</v>
      </c>
      <c r="D78" s="1">
        <v>45077</v>
      </c>
      <c r="E78">
        <v>1520053</v>
      </c>
      <c r="F78">
        <v>303789</v>
      </c>
      <c r="G78">
        <v>352</v>
      </c>
      <c r="H78" t="s">
        <v>18</v>
      </c>
      <c r="I78" s="3"/>
    </row>
    <row r="79" spans="1:9">
      <c r="A79">
        <v>1078</v>
      </c>
      <c r="B79" t="s">
        <v>11</v>
      </c>
      <c r="C79" t="s">
        <v>19</v>
      </c>
      <c r="D79" s="1">
        <v>45227</v>
      </c>
      <c r="E79">
        <v>513372</v>
      </c>
      <c r="F79">
        <v>663143</v>
      </c>
      <c r="G79">
        <v>130</v>
      </c>
      <c r="H79" t="s">
        <v>10</v>
      </c>
      <c r="I79" s="3"/>
    </row>
    <row r="80" spans="1:9">
      <c r="A80">
        <v>1023</v>
      </c>
      <c r="B80" t="s">
        <v>16</v>
      </c>
      <c r="C80" t="s">
        <v>9</v>
      </c>
      <c r="D80" s="1">
        <v>45227</v>
      </c>
      <c r="E80">
        <v>1842578</v>
      </c>
      <c r="F80">
        <v>1904744</v>
      </c>
      <c r="G80">
        <v>94</v>
      </c>
      <c r="H80" t="s">
        <v>10</v>
      </c>
      <c r="I80" s="3"/>
    </row>
    <row r="81" spans="1:9">
      <c r="A81">
        <v>1039</v>
      </c>
      <c r="B81" t="s">
        <v>16</v>
      </c>
      <c r="C81" t="s">
        <v>19</v>
      </c>
      <c r="D81" s="1">
        <v>45137</v>
      </c>
      <c r="E81">
        <v>4906869</v>
      </c>
      <c r="G81">
        <v>390</v>
      </c>
      <c r="H81" t="s">
        <v>20</v>
      </c>
      <c r="I81" s="3"/>
    </row>
    <row r="82" spans="1:9">
      <c r="A82">
        <v>1042</v>
      </c>
      <c r="B82" t="s">
        <v>21</v>
      </c>
      <c r="C82" t="s">
        <v>12</v>
      </c>
      <c r="D82" s="1">
        <v>45257</v>
      </c>
      <c r="E82">
        <v>454298</v>
      </c>
      <c r="F82">
        <v>1084800</v>
      </c>
      <c r="G82">
        <v>77</v>
      </c>
      <c r="H82" t="s">
        <v>18</v>
      </c>
      <c r="I82" s="3"/>
    </row>
    <row r="83" spans="1:9">
      <c r="A83">
        <v>1070</v>
      </c>
      <c r="B83" t="s">
        <v>13</v>
      </c>
      <c r="C83" t="s">
        <v>19</v>
      </c>
      <c r="D83" s="1">
        <v>45107</v>
      </c>
      <c r="E83">
        <v>2858530</v>
      </c>
      <c r="F83">
        <v>2156352</v>
      </c>
      <c r="G83">
        <v>210</v>
      </c>
      <c r="H83" t="s">
        <v>15</v>
      </c>
      <c r="I83" s="3"/>
    </row>
    <row r="84" spans="1:9">
      <c r="A84">
        <v>1002</v>
      </c>
      <c r="B84" t="s">
        <v>21</v>
      </c>
      <c r="C84" t="s">
        <v>9</v>
      </c>
      <c r="D84" s="1">
        <v>45107</v>
      </c>
      <c r="E84">
        <v>3386900</v>
      </c>
      <c r="F84">
        <v>3705345</v>
      </c>
      <c r="G84">
        <v>50</v>
      </c>
      <c r="H84" t="s">
        <v>15</v>
      </c>
      <c r="I84" s="3"/>
    </row>
    <row r="85" spans="1:9">
      <c r="A85">
        <v>1052</v>
      </c>
      <c r="B85" t="s">
        <v>11</v>
      </c>
      <c r="C85" t="s">
        <v>17</v>
      </c>
      <c r="D85" s="1">
        <v>45227</v>
      </c>
      <c r="E85">
        <v>3412816</v>
      </c>
      <c r="F85">
        <v>1601239</v>
      </c>
      <c r="G85">
        <v>485</v>
      </c>
      <c r="H85" t="s">
        <v>10</v>
      </c>
      <c r="I85" s="3"/>
    </row>
    <row r="86" spans="1:9">
      <c r="A86">
        <v>1018</v>
      </c>
      <c r="B86" t="s">
        <v>11</v>
      </c>
      <c r="C86" t="s">
        <v>19</v>
      </c>
      <c r="D86" s="1">
        <v>44927</v>
      </c>
      <c r="E86">
        <v>1022620</v>
      </c>
      <c r="F86">
        <v>874151</v>
      </c>
      <c r="G86">
        <v>143</v>
      </c>
      <c r="H86" t="s">
        <v>15</v>
      </c>
      <c r="I86" s="3"/>
    </row>
    <row r="87" spans="1:9">
      <c r="A87">
        <v>1076</v>
      </c>
      <c r="B87" t="s">
        <v>16</v>
      </c>
      <c r="C87" t="s">
        <v>14</v>
      </c>
      <c r="D87" s="1">
        <v>45227</v>
      </c>
      <c r="E87">
        <v>1399162</v>
      </c>
      <c r="F87">
        <v>2455432</v>
      </c>
      <c r="G87">
        <v>72</v>
      </c>
      <c r="H87" t="s">
        <v>18</v>
      </c>
      <c r="I87" s="3"/>
    </row>
    <row r="88" spans="1:9">
      <c r="A88">
        <v>1041</v>
      </c>
      <c r="B88" t="s">
        <v>21</v>
      </c>
      <c r="C88" t="s">
        <v>19</v>
      </c>
      <c r="D88" s="1">
        <v>45197</v>
      </c>
      <c r="E88">
        <v>795849</v>
      </c>
      <c r="F88">
        <v>3924373</v>
      </c>
      <c r="G88">
        <v>284</v>
      </c>
      <c r="H88" t="s">
        <v>15</v>
      </c>
      <c r="I88" s="3"/>
    </row>
    <row r="89" spans="1:9">
      <c r="A89">
        <v>1027</v>
      </c>
      <c r="B89" t="s">
        <v>21</v>
      </c>
      <c r="C89" t="s">
        <v>19</v>
      </c>
      <c r="D89" s="1">
        <v>45107</v>
      </c>
      <c r="E89">
        <v>4283193</v>
      </c>
      <c r="F89">
        <v>2310939</v>
      </c>
      <c r="G89">
        <v>79</v>
      </c>
      <c r="H89" t="s">
        <v>18</v>
      </c>
      <c r="I89" s="3"/>
    </row>
    <row r="90" spans="1:9">
      <c r="A90">
        <v>1078</v>
      </c>
      <c r="B90" t="s">
        <v>16</v>
      </c>
      <c r="C90" t="s">
        <v>12</v>
      </c>
      <c r="D90" s="1">
        <v>45137</v>
      </c>
      <c r="E90">
        <v>1459865</v>
      </c>
      <c r="F90">
        <v>3906742</v>
      </c>
      <c r="G90">
        <v>58</v>
      </c>
      <c r="H90" t="s">
        <v>20</v>
      </c>
      <c r="I90" s="3"/>
    </row>
    <row r="91" spans="1:9">
      <c r="A91">
        <v>1055</v>
      </c>
      <c r="B91" t="s">
        <v>8</v>
      </c>
      <c r="C91" t="s">
        <v>9</v>
      </c>
      <c r="D91" s="1">
        <v>45167</v>
      </c>
      <c r="E91">
        <v>7021660</v>
      </c>
      <c r="F91">
        <v>2508361</v>
      </c>
      <c r="G91">
        <v>433</v>
      </c>
      <c r="H91" t="s">
        <v>10</v>
      </c>
      <c r="I91" s="3"/>
    </row>
    <row r="92" spans="1:9">
      <c r="A92">
        <v>1067</v>
      </c>
      <c r="B92" t="s">
        <v>8</v>
      </c>
      <c r="C92" t="s">
        <v>19</v>
      </c>
      <c r="D92" s="1">
        <v>45197</v>
      </c>
      <c r="E92">
        <v>1816537</v>
      </c>
      <c r="F92">
        <v>182064</v>
      </c>
      <c r="G92">
        <v>109</v>
      </c>
      <c r="H92" t="s">
        <v>10</v>
      </c>
      <c r="I92" s="3"/>
    </row>
    <row r="93" spans="1:9">
      <c r="A93">
        <v>1079</v>
      </c>
      <c r="B93" t="s">
        <v>13</v>
      </c>
      <c r="C93" t="s">
        <v>9</v>
      </c>
      <c r="D93" s="1">
        <v>45257</v>
      </c>
      <c r="E93">
        <v>4596360</v>
      </c>
      <c r="F93">
        <v>900028</v>
      </c>
      <c r="G93">
        <v>149</v>
      </c>
      <c r="H93" t="s">
        <v>10</v>
      </c>
      <c r="I93" s="3"/>
    </row>
    <row r="94" spans="1:9">
      <c r="A94">
        <v>1048</v>
      </c>
      <c r="B94" t="s">
        <v>21</v>
      </c>
      <c r="C94" t="s">
        <v>12</v>
      </c>
      <c r="D94" s="1">
        <v>45017</v>
      </c>
      <c r="E94">
        <v>1570699</v>
      </c>
      <c r="F94">
        <v>2936326</v>
      </c>
      <c r="G94">
        <v>341</v>
      </c>
      <c r="H94" t="s">
        <v>15</v>
      </c>
      <c r="I94" s="3"/>
    </row>
    <row r="95" spans="1:9">
      <c r="A95">
        <v>1011</v>
      </c>
      <c r="B95" t="s">
        <v>13</v>
      </c>
      <c r="C95" t="s">
        <v>12</v>
      </c>
      <c r="D95" s="1">
        <v>44957</v>
      </c>
      <c r="E95">
        <v>2849514</v>
      </c>
      <c r="F95">
        <v>2123352</v>
      </c>
      <c r="G95">
        <v>18</v>
      </c>
      <c r="H95" t="s">
        <v>10</v>
      </c>
      <c r="I95" s="3"/>
    </row>
    <row r="96" spans="1:9">
      <c r="A96">
        <v>1005</v>
      </c>
      <c r="B96" t="s">
        <v>13</v>
      </c>
      <c r="C96" t="s">
        <v>17</v>
      </c>
      <c r="D96" s="1">
        <v>45017</v>
      </c>
      <c r="E96">
        <v>2920382</v>
      </c>
      <c r="F96">
        <v>983928</v>
      </c>
      <c r="G96">
        <v>64</v>
      </c>
      <c r="H96" t="s">
        <v>10</v>
      </c>
      <c r="I96" s="3"/>
    </row>
    <row r="97" spans="1:9">
      <c r="A97">
        <v>1028</v>
      </c>
      <c r="B97" t="s">
        <v>8</v>
      </c>
      <c r="C97" t="s">
        <v>12</v>
      </c>
      <c r="D97" s="1">
        <v>45227</v>
      </c>
      <c r="E97">
        <v>2531702</v>
      </c>
      <c r="F97">
        <v>2655438</v>
      </c>
      <c r="G97">
        <v>368</v>
      </c>
      <c r="H97" t="s">
        <v>10</v>
      </c>
      <c r="I97" s="3"/>
    </row>
    <row r="98" spans="1:9">
      <c r="A98">
        <v>1027</v>
      </c>
      <c r="B98" t="s">
        <v>21</v>
      </c>
      <c r="C98" t="s">
        <v>12</v>
      </c>
      <c r="D98" s="1">
        <v>44957</v>
      </c>
      <c r="E98">
        <v>1610323</v>
      </c>
      <c r="F98">
        <v>1801534</v>
      </c>
      <c r="G98">
        <v>111</v>
      </c>
      <c r="H98" t="s">
        <v>10</v>
      </c>
      <c r="I98" s="3"/>
    </row>
    <row r="99" spans="1:9">
      <c r="A99">
        <v>1014</v>
      </c>
      <c r="B99" t="s">
        <v>13</v>
      </c>
      <c r="C99" t="s">
        <v>17</v>
      </c>
      <c r="D99" s="1">
        <v>45257</v>
      </c>
      <c r="E99">
        <v>3638043</v>
      </c>
      <c r="F99">
        <v>1260124</v>
      </c>
      <c r="G99">
        <v>14</v>
      </c>
      <c r="H99" t="s">
        <v>10</v>
      </c>
      <c r="I99" s="3"/>
    </row>
    <row r="100" spans="1:9">
      <c r="A100">
        <v>1047</v>
      </c>
      <c r="B100" t="s">
        <v>8</v>
      </c>
      <c r="C100" t="s">
        <v>17</v>
      </c>
      <c r="D100" s="1">
        <v>45077</v>
      </c>
      <c r="E100">
        <v>-763241</v>
      </c>
      <c r="F100">
        <v>1662160</v>
      </c>
      <c r="G100">
        <v>114</v>
      </c>
      <c r="H100" t="s">
        <v>18</v>
      </c>
      <c r="I100" s="3"/>
    </row>
    <row r="101" spans="1:9">
      <c r="A101">
        <v>1047</v>
      </c>
      <c r="B101" t="s">
        <v>11</v>
      </c>
      <c r="C101" t="s">
        <v>22</v>
      </c>
      <c r="D101" s="1">
        <v>45227</v>
      </c>
      <c r="E101">
        <v>273897</v>
      </c>
      <c r="G101">
        <v>225</v>
      </c>
      <c r="H101" t="s">
        <v>10</v>
      </c>
      <c r="I101" s="3"/>
    </row>
    <row r="102" spans="1:9">
      <c r="A102">
        <v>1027</v>
      </c>
      <c r="B102" t="s">
        <v>16</v>
      </c>
      <c r="C102" t="s">
        <v>12</v>
      </c>
      <c r="D102" s="1">
        <v>45167</v>
      </c>
      <c r="E102">
        <v>1104424</v>
      </c>
      <c r="F102">
        <v>2447957</v>
      </c>
      <c r="G102">
        <v>418</v>
      </c>
      <c r="H102" t="s">
        <v>10</v>
      </c>
      <c r="I102" s="3"/>
    </row>
    <row r="103" spans="1:9">
      <c r="A103">
        <v>1097</v>
      </c>
      <c r="B103" t="s">
        <v>11</v>
      </c>
      <c r="C103" t="s">
        <v>19</v>
      </c>
      <c r="D103" s="1">
        <v>44927</v>
      </c>
      <c r="E103">
        <v>264214</v>
      </c>
      <c r="F103">
        <v>322824</v>
      </c>
      <c r="G103">
        <v>310</v>
      </c>
      <c r="H103" t="s">
        <v>20</v>
      </c>
      <c r="I103" s="3"/>
    </row>
    <row r="104" spans="1:9">
      <c r="A104">
        <v>1095</v>
      </c>
      <c r="B104" t="s">
        <v>21</v>
      </c>
      <c r="C104" t="s">
        <v>17</v>
      </c>
      <c r="D104" s="1">
        <v>44987</v>
      </c>
      <c r="E104">
        <v>2338033</v>
      </c>
      <c r="F104">
        <v>3550265</v>
      </c>
      <c r="G104">
        <v>167</v>
      </c>
      <c r="H104" t="s">
        <v>10</v>
      </c>
      <c r="I104" s="3"/>
    </row>
    <row r="105" spans="1:9">
      <c r="A105">
        <v>1033</v>
      </c>
      <c r="B105" t="s">
        <v>13</v>
      </c>
      <c r="C105" t="s">
        <v>17</v>
      </c>
      <c r="D105" s="1">
        <v>45107</v>
      </c>
      <c r="E105">
        <v>3398080</v>
      </c>
      <c r="F105">
        <v>1256332</v>
      </c>
      <c r="G105">
        <v>252</v>
      </c>
      <c r="H105" t="s">
        <v>15</v>
      </c>
      <c r="I105" s="3"/>
    </row>
    <row r="106" spans="1:9">
      <c r="A106">
        <v>1056</v>
      </c>
      <c r="B106" t="s">
        <v>16</v>
      </c>
      <c r="C106" t="s">
        <v>17</v>
      </c>
      <c r="D106" s="1">
        <v>45257</v>
      </c>
      <c r="E106">
        <v>1717190</v>
      </c>
      <c r="F106">
        <v>84003</v>
      </c>
      <c r="G106">
        <v>426</v>
      </c>
      <c r="H106" t="s">
        <v>18</v>
      </c>
      <c r="I106" s="3"/>
    </row>
    <row r="107" spans="1:9">
      <c r="A107">
        <v>1079</v>
      </c>
      <c r="B107" t="s">
        <v>13</v>
      </c>
      <c r="C107" t="s">
        <v>9</v>
      </c>
      <c r="D107" s="1">
        <v>44987</v>
      </c>
      <c r="E107">
        <v>4053038</v>
      </c>
      <c r="F107">
        <v>751782</v>
      </c>
      <c r="G107">
        <v>480</v>
      </c>
      <c r="H107" t="s">
        <v>18</v>
      </c>
      <c r="I107" s="3"/>
    </row>
    <row r="108" spans="1:9">
      <c r="A108">
        <v>1050</v>
      </c>
      <c r="B108" t="s">
        <v>11</v>
      </c>
      <c r="C108" t="s">
        <v>9</v>
      </c>
      <c r="D108" s="1">
        <v>45197</v>
      </c>
      <c r="E108">
        <v>4457271</v>
      </c>
      <c r="F108">
        <v>3712395</v>
      </c>
      <c r="G108">
        <v>113</v>
      </c>
      <c r="H108" t="s">
        <v>18</v>
      </c>
      <c r="I108" s="3"/>
    </row>
    <row r="109" spans="1:9">
      <c r="A109">
        <v>1064</v>
      </c>
      <c r="B109" t="s">
        <v>8</v>
      </c>
      <c r="C109" t="s">
        <v>9</v>
      </c>
      <c r="D109" s="1">
        <v>45107</v>
      </c>
      <c r="E109">
        <v>1337306</v>
      </c>
      <c r="F109">
        <v>3560643</v>
      </c>
      <c r="G109">
        <v>183</v>
      </c>
      <c r="H109" t="s">
        <v>15</v>
      </c>
      <c r="I109" s="3"/>
    </row>
    <row r="110" spans="1:9">
      <c r="A110">
        <v>1084</v>
      </c>
      <c r="B110" t="s">
        <v>11</v>
      </c>
      <c r="C110" t="s">
        <v>14</v>
      </c>
      <c r="D110" s="1">
        <v>44927</v>
      </c>
      <c r="E110">
        <v>887130</v>
      </c>
      <c r="F110">
        <v>392311</v>
      </c>
      <c r="G110">
        <v>201</v>
      </c>
      <c r="H110" t="s">
        <v>18</v>
      </c>
      <c r="I110" s="3"/>
    </row>
    <row r="111" spans="1:9">
      <c r="A111">
        <v>1058</v>
      </c>
      <c r="B111" t="s">
        <v>13</v>
      </c>
      <c r="C111" t="s">
        <v>19</v>
      </c>
      <c r="D111" s="1">
        <v>44957</v>
      </c>
      <c r="E111">
        <v>2496419</v>
      </c>
      <c r="F111">
        <v>1298326</v>
      </c>
      <c r="G111">
        <v>422</v>
      </c>
      <c r="H111" t="s">
        <v>18</v>
      </c>
      <c r="I111" s="3"/>
    </row>
    <row r="112" spans="1:9">
      <c r="A112">
        <v>1076</v>
      </c>
      <c r="B112" t="s">
        <v>8</v>
      </c>
      <c r="C112" t="s">
        <v>9</v>
      </c>
      <c r="D112" s="1">
        <v>45227</v>
      </c>
      <c r="E112">
        <v>2466706</v>
      </c>
      <c r="F112">
        <v>3665566</v>
      </c>
      <c r="G112">
        <v>347</v>
      </c>
      <c r="H112" t="s">
        <v>15</v>
      </c>
      <c r="I112" s="3"/>
    </row>
    <row r="113" spans="1:9">
      <c r="A113">
        <v>1091</v>
      </c>
      <c r="B113" t="s">
        <v>21</v>
      </c>
      <c r="C113" t="s">
        <v>17</v>
      </c>
      <c r="D113" s="1">
        <v>44987</v>
      </c>
      <c r="E113">
        <v>2254567</v>
      </c>
      <c r="F113">
        <v>3171777</v>
      </c>
      <c r="G113">
        <v>455</v>
      </c>
      <c r="H113" t="s">
        <v>10</v>
      </c>
      <c r="I113" s="3"/>
    </row>
    <row r="114" spans="1:9">
      <c r="A114">
        <v>1037</v>
      </c>
      <c r="B114" t="s">
        <v>11</v>
      </c>
      <c r="C114" t="s">
        <v>9</v>
      </c>
      <c r="D114" s="1">
        <v>45137</v>
      </c>
      <c r="E114">
        <v>3601385</v>
      </c>
      <c r="F114">
        <v>2870675</v>
      </c>
      <c r="G114">
        <v>37</v>
      </c>
      <c r="H114" t="s">
        <v>10</v>
      </c>
      <c r="I114" s="3"/>
    </row>
    <row r="115" spans="1:9">
      <c r="A115">
        <v>1099</v>
      </c>
      <c r="B115" t="s">
        <v>16</v>
      </c>
      <c r="C115" t="s">
        <v>17</v>
      </c>
      <c r="D115" s="1">
        <v>45077</v>
      </c>
      <c r="E115">
        <v>3889782</v>
      </c>
      <c r="F115">
        <v>3099177</v>
      </c>
      <c r="G115">
        <v>392</v>
      </c>
      <c r="H115" t="s">
        <v>10</v>
      </c>
      <c r="I115" s="3"/>
    </row>
    <row r="116" spans="1:9">
      <c r="A116">
        <v>1062</v>
      </c>
      <c r="B116" t="s">
        <v>13</v>
      </c>
      <c r="C116" t="s">
        <v>9</v>
      </c>
      <c r="D116" s="1">
        <v>45077</v>
      </c>
      <c r="E116">
        <v>1015918</v>
      </c>
      <c r="F116">
        <v>2212125</v>
      </c>
      <c r="G116">
        <v>280</v>
      </c>
      <c r="H116" t="s">
        <v>10</v>
      </c>
      <c r="I116" s="3"/>
    </row>
    <row r="117" spans="1:9">
      <c r="A117">
        <v>1004</v>
      </c>
      <c r="B117" t="s">
        <v>16</v>
      </c>
      <c r="C117" t="s">
        <v>19</v>
      </c>
      <c r="D117" s="1">
        <v>45167</v>
      </c>
      <c r="E117">
        <v>4570684</v>
      </c>
      <c r="F117">
        <v>3995906</v>
      </c>
      <c r="G117">
        <v>64</v>
      </c>
      <c r="H117" t="s">
        <v>10</v>
      </c>
      <c r="I117" s="3"/>
    </row>
    <row r="118" spans="1:9">
      <c r="A118">
        <v>1034</v>
      </c>
      <c r="B118" t="s">
        <v>11</v>
      </c>
      <c r="C118" t="s">
        <v>14</v>
      </c>
      <c r="D118" s="1">
        <v>45077</v>
      </c>
      <c r="E118">
        <v>1437700</v>
      </c>
      <c r="F118">
        <v>623617</v>
      </c>
      <c r="G118">
        <v>373</v>
      </c>
      <c r="H118" t="s">
        <v>10</v>
      </c>
      <c r="I118" s="3"/>
    </row>
    <row r="119" spans="1:9">
      <c r="A119">
        <v>1018</v>
      </c>
      <c r="B119" t="s">
        <v>13</v>
      </c>
      <c r="C119" t="s">
        <v>9</v>
      </c>
      <c r="D119" s="1">
        <v>45257</v>
      </c>
      <c r="E119">
        <v>2275245</v>
      </c>
      <c r="F119">
        <v>3921598</v>
      </c>
      <c r="G119">
        <v>283</v>
      </c>
      <c r="H119" t="s">
        <v>18</v>
      </c>
      <c r="I119" s="3"/>
    </row>
    <row r="120" spans="1:9">
      <c r="A120">
        <v>1100</v>
      </c>
      <c r="B120" t="s">
        <v>13</v>
      </c>
      <c r="C120" t="s">
        <v>12</v>
      </c>
      <c r="D120" s="1">
        <v>45197</v>
      </c>
      <c r="E120">
        <v>1456341</v>
      </c>
      <c r="F120">
        <v>709646</v>
      </c>
      <c r="G120">
        <v>451</v>
      </c>
      <c r="H120" t="s">
        <v>10</v>
      </c>
      <c r="I120" s="3"/>
    </row>
    <row r="121" spans="1:9">
      <c r="A121">
        <v>1086</v>
      </c>
      <c r="B121" t="s">
        <v>8</v>
      </c>
      <c r="C121" t="s">
        <v>14</v>
      </c>
      <c r="D121" s="1">
        <v>45197</v>
      </c>
      <c r="E121">
        <v>1560321</v>
      </c>
      <c r="G121">
        <v>455</v>
      </c>
      <c r="H121" t="s">
        <v>15</v>
      </c>
      <c r="I121" s="3"/>
    </row>
    <row r="122" spans="1:9">
      <c r="A122">
        <v>1051</v>
      </c>
      <c r="B122" t="s">
        <v>16</v>
      </c>
      <c r="C122" t="s">
        <v>9</v>
      </c>
      <c r="D122" s="1">
        <v>44927</v>
      </c>
      <c r="E122">
        <v>3254326</v>
      </c>
      <c r="F122">
        <v>2885628</v>
      </c>
      <c r="G122">
        <v>70</v>
      </c>
      <c r="H122" t="s">
        <v>18</v>
      </c>
      <c r="I122" s="3"/>
    </row>
    <row r="123" spans="1:9">
      <c r="A123">
        <v>1077</v>
      </c>
      <c r="B123" t="s">
        <v>11</v>
      </c>
      <c r="C123" t="s">
        <v>19</v>
      </c>
      <c r="D123" s="1">
        <v>44957</v>
      </c>
      <c r="E123">
        <v>3089797</v>
      </c>
      <c r="F123">
        <v>2683149</v>
      </c>
      <c r="G123">
        <v>200</v>
      </c>
      <c r="H123" t="s">
        <v>15</v>
      </c>
      <c r="I123" s="3"/>
    </row>
    <row r="124" spans="1:9">
      <c r="A124">
        <v>1035</v>
      </c>
      <c r="B124" t="s">
        <v>16</v>
      </c>
      <c r="C124" t="s">
        <v>19</v>
      </c>
      <c r="D124" s="1">
        <v>45077</v>
      </c>
      <c r="E124">
        <v>4936172</v>
      </c>
      <c r="F124">
        <v>3065599</v>
      </c>
      <c r="G124">
        <v>426</v>
      </c>
      <c r="H124" t="s">
        <v>20</v>
      </c>
      <c r="I124" s="3"/>
    </row>
    <row r="125" spans="1:9">
      <c r="A125">
        <v>1080</v>
      </c>
      <c r="B125" t="s">
        <v>16</v>
      </c>
      <c r="C125" t="s">
        <v>14</v>
      </c>
      <c r="D125" s="1">
        <v>45077</v>
      </c>
      <c r="E125">
        <v>4989593</v>
      </c>
      <c r="F125">
        <v>2200372</v>
      </c>
      <c r="G125">
        <v>118</v>
      </c>
      <c r="H125" t="s">
        <v>20</v>
      </c>
      <c r="I125" s="3"/>
    </row>
    <row r="126" spans="1:9">
      <c r="A126">
        <v>1062</v>
      </c>
      <c r="B126" t="s">
        <v>11</v>
      </c>
      <c r="C126" t="s">
        <v>22</v>
      </c>
      <c r="D126" s="1">
        <v>45047</v>
      </c>
      <c r="E126">
        <v>2930206</v>
      </c>
      <c r="F126">
        <v>2679619</v>
      </c>
      <c r="G126">
        <v>460</v>
      </c>
      <c r="H126" t="s">
        <v>18</v>
      </c>
      <c r="I126" s="3"/>
    </row>
    <row r="127" spans="1:9">
      <c r="A127">
        <v>1094</v>
      </c>
      <c r="B127" t="s">
        <v>8</v>
      </c>
      <c r="C127" t="s">
        <v>14</v>
      </c>
      <c r="D127" s="1">
        <v>45107</v>
      </c>
      <c r="E127">
        <v>4737011</v>
      </c>
      <c r="F127">
        <v>917828</v>
      </c>
      <c r="G127">
        <v>146</v>
      </c>
      <c r="H127" t="s">
        <v>10</v>
      </c>
      <c r="I127" s="3"/>
    </row>
    <row r="128" spans="1:9">
      <c r="A128">
        <v>1031</v>
      </c>
      <c r="B128" t="s">
        <v>8</v>
      </c>
      <c r="C128" t="s">
        <v>9</v>
      </c>
      <c r="D128" s="1">
        <v>45017</v>
      </c>
      <c r="E128">
        <v>71480</v>
      </c>
      <c r="F128">
        <v>1066314</v>
      </c>
      <c r="G128">
        <v>109</v>
      </c>
      <c r="H128" t="s">
        <v>18</v>
      </c>
      <c r="I128" s="3"/>
    </row>
    <row r="129" spans="1:9">
      <c r="A129">
        <v>1011</v>
      </c>
      <c r="B129" t="s">
        <v>11</v>
      </c>
      <c r="C129" t="s">
        <v>12</v>
      </c>
      <c r="D129" s="1">
        <v>45167</v>
      </c>
      <c r="E129">
        <v>2431615</v>
      </c>
      <c r="F129">
        <v>3579690</v>
      </c>
      <c r="G129">
        <v>52</v>
      </c>
      <c r="H129" t="s">
        <v>15</v>
      </c>
      <c r="I129" s="3"/>
    </row>
    <row r="130" spans="1:9">
      <c r="A130">
        <v>1083</v>
      </c>
      <c r="B130" t="s">
        <v>8</v>
      </c>
      <c r="C130" t="s">
        <v>14</v>
      </c>
      <c r="D130" s="1">
        <v>45167</v>
      </c>
      <c r="E130">
        <v>2865495</v>
      </c>
      <c r="F130">
        <v>3951349</v>
      </c>
      <c r="G130">
        <v>63</v>
      </c>
      <c r="H130" t="s">
        <v>15</v>
      </c>
      <c r="I130" s="3"/>
    </row>
    <row r="131" spans="1:9">
      <c r="A131">
        <v>1024</v>
      </c>
      <c r="B131" t="s">
        <v>21</v>
      </c>
      <c r="C131" t="s">
        <v>12</v>
      </c>
      <c r="D131" s="1">
        <v>45227</v>
      </c>
      <c r="E131">
        <v>1352096</v>
      </c>
      <c r="F131">
        <v>958994</v>
      </c>
      <c r="G131">
        <v>146</v>
      </c>
      <c r="H131" t="s">
        <v>10</v>
      </c>
      <c r="I131" s="3"/>
    </row>
    <row r="132" spans="1:9">
      <c r="A132">
        <v>1076</v>
      </c>
      <c r="B132" t="s">
        <v>21</v>
      </c>
      <c r="C132" t="s">
        <v>14</v>
      </c>
      <c r="D132" s="1">
        <v>45197</v>
      </c>
      <c r="E132">
        <v>3852893</v>
      </c>
      <c r="F132">
        <v>208506</v>
      </c>
      <c r="G132">
        <v>345</v>
      </c>
      <c r="H132" t="s">
        <v>20</v>
      </c>
      <c r="I132" s="3"/>
    </row>
    <row r="133" spans="1:9">
      <c r="A133">
        <v>1049</v>
      </c>
      <c r="B133" t="s">
        <v>21</v>
      </c>
      <c r="C133" t="s">
        <v>14</v>
      </c>
      <c r="D133" s="1">
        <v>45077</v>
      </c>
      <c r="E133">
        <v>-3574953</v>
      </c>
      <c r="F133">
        <v>2523921</v>
      </c>
      <c r="G133">
        <v>101</v>
      </c>
      <c r="H133" t="s">
        <v>10</v>
      </c>
      <c r="I133" s="3"/>
    </row>
    <row r="134" spans="1:9">
      <c r="A134">
        <v>1096</v>
      </c>
      <c r="B134" t="s">
        <v>21</v>
      </c>
      <c r="C134" t="s">
        <v>19</v>
      </c>
      <c r="D134" s="1">
        <v>45137</v>
      </c>
      <c r="E134">
        <v>4728915</v>
      </c>
      <c r="F134">
        <v>2047108</v>
      </c>
      <c r="G134">
        <v>117</v>
      </c>
      <c r="H134" t="s">
        <v>20</v>
      </c>
      <c r="I134" s="3"/>
    </row>
    <row r="135" spans="1:9">
      <c r="A135">
        <v>1030</v>
      </c>
      <c r="B135" t="s">
        <v>8</v>
      </c>
      <c r="C135" t="s">
        <v>19</v>
      </c>
      <c r="D135" s="1">
        <v>45227</v>
      </c>
      <c r="E135">
        <v>1254081</v>
      </c>
      <c r="F135">
        <v>2630791</v>
      </c>
      <c r="G135">
        <v>484</v>
      </c>
      <c r="H135" t="s">
        <v>15</v>
      </c>
      <c r="I135" s="3"/>
    </row>
    <row r="136" spans="1:9">
      <c r="A136">
        <v>1047</v>
      </c>
      <c r="B136" t="s">
        <v>8</v>
      </c>
      <c r="C136" t="s">
        <v>17</v>
      </c>
      <c r="D136" s="1">
        <v>45167</v>
      </c>
      <c r="E136">
        <v>48388340</v>
      </c>
      <c r="F136">
        <v>1064629</v>
      </c>
      <c r="G136">
        <v>238</v>
      </c>
      <c r="H136" t="s">
        <v>20</v>
      </c>
      <c r="I136" s="3"/>
    </row>
    <row r="137" spans="1:9">
      <c r="A137">
        <v>1033</v>
      </c>
      <c r="B137" t="s">
        <v>11</v>
      </c>
      <c r="C137" t="s">
        <v>12</v>
      </c>
      <c r="D137" s="1">
        <v>45257</v>
      </c>
      <c r="E137">
        <v>434890</v>
      </c>
      <c r="F137">
        <v>1225921</v>
      </c>
      <c r="G137">
        <v>256</v>
      </c>
      <c r="H137" t="s">
        <v>20</v>
      </c>
      <c r="I137" s="3"/>
    </row>
    <row r="138" spans="1:9">
      <c r="A138">
        <v>1012</v>
      </c>
      <c r="B138" t="s">
        <v>11</v>
      </c>
      <c r="C138" t="s">
        <v>9</v>
      </c>
      <c r="D138" s="1">
        <v>44987</v>
      </c>
      <c r="E138">
        <v>2909171</v>
      </c>
      <c r="F138">
        <v>2053158</v>
      </c>
      <c r="G138">
        <v>425</v>
      </c>
      <c r="H138" t="s">
        <v>10</v>
      </c>
      <c r="I138" s="3"/>
    </row>
    <row r="139" spans="1:9">
      <c r="A139">
        <v>1036</v>
      </c>
      <c r="B139" t="s">
        <v>11</v>
      </c>
      <c r="C139" t="s">
        <v>9</v>
      </c>
      <c r="D139" s="1">
        <v>45077</v>
      </c>
      <c r="E139">
        <v>3317513</v>
      </c>
      <c r="F139">
        <v>45481</v>
      </c>
      <c r="G139">
        <v>265</v>
      </c>
      <c r="H139" t="s">
        <v>18</v>
      </c>
      <c r="I139" s="3"/>
    </row>
    <row r="140" spans="1:9">
      <c r="A140">
        <v>1042</v>
      </c>
      <c r="B140" t="s">
        <v>8</v>
      </c>
      <c r="C140" t="s">
        <v>12</v>
      </c>
      <c r="D140" s="1">
        <v>45017</v>
      </c>
      <c r="E140">
        <v>2329160</v>
      </c>
      <c r="F140">
        <v>1186788</v>
      </c>
      <c r="G140">
        <v>45</v>
      </c>
      <c r="H140" t="s">
        <v>10</v>
      </c>
      <c r="I140" s="3"/>
    </row>
    <row r="141" spans="1:9">
      <c r="A141">
        <v>1013</v>
      </c>
      <c r="B141" t="s">
        <v>13</v>
      </c>
      <c r="C141" t="s">
        <v>14</v>
      </c>
      <c r="D141" s="1">
        <v>45227</v>
      </c>
      <c r="E141">
        <v>540589</v>
      </c>
      <c r="G141">
        <v>73</v>
      </c>
      <c r="H141" t="s">
        <v>18</v>
      </c>
      <c r="I141" s="3"/>
    </row>
    <row r="142" spans="1:9">
      <c r="A142">
        <v>1056</v>
      </c>
      <c r="B142" t="s">
        <v>11</v>
      </c>
      <c r="C142" t="s">
        <v>9</v>
      </c>
      <c r="D142" s="1">
        <v>45257</v>
      </c>
      <c r="E142">
        <v>4421764</v>
      </c>
      <c r="F142">
        <v>3448610</v>
      </c>
      <c r="G142">
        <v>252</v>
      </c>
      <c r="H142" t="s">
        <v>15</v>
      </c>
      <c r="I142" s="3"/>
    </row>
    <row r="143" spans="1:9">
      <c r="A143">
        <v>1080</v>
      </c>
      <c r="B143" t="s">
        <v>21</v>
      </c>
      <c r="C143" t="s">
        <v>17</v>
      </c>
      <c r="D143" s="1">
        <v>45017</v>
      </c>
      <c r="E143">
        <v>3402826</v>
      </c>
      <c r="F143">
        <v>2277132</v>
      </c>
      <c r="G143">
        <v>56</v>
      </c>
      <c r="H143" t="s">
        <v>18</v>
      </c>
      <c r="I143" s="3"/>
    </row>
    <row r="144" spans="1:9">
      <c r="A144">
        <v>1072</v>
      </c>
      <c r="B144" t="s">
        <v>8</v>
      </c>
      <c r="C144" t="s">
        <v>12</v>
      </c>
      <c r="D144" s="1">
        <v>45257</v>
      </c>
      <c r="E144">
        <v>406125</v>
      </c>
      <c r="F144">
        <v>344892</v>
      </c>
      <c r="G144">
        <v>207</v>
      </c>
      <c r="H144" t="s">
        <v>10</v>
      </c>
      <c r="I144" s="3"/>
    </row>
    <row r="145" spans="1:9">
      <c r="A145">
        <v>1002</v>
      </c>
      <c r="B145" t="s">
        <v>21</v>
      </c>
      <c r="C145" t="s">
        <v>14</v>
      </c>
      <c r="D145" s="1">
        <v>45197</v>
      </c>
      <c r="E145">
        <v>4998484</v>
      </c>
      <c r="F145">
        <v>105542</v>
      </c>
      <c r="G145">
        <v>399</v>
      </c>
      <c r="H145" t="s">
        <v>20</v>
      </c>
      <c r="I145" s="3"/>
    </row>
    <row r="146" spans="1:9">
      <c r="A146">
        <v>1016</v>
      </c>
      <c r="B146" t="s">
        <v>16</v>
      </c>
      <c r="C146" t="s">
        <v>9</v>
      </c>
      <c r="D146" s="1">
        <v>45047</v>
      </c>
      <c r="E146">
        <v>2697721</v>
      </c>
      <c r="F146">
        <v>681233</v>
      </c>
      <c r="G146">
        <v>229</v>
      </c>
      <c r="H146" t="s">
        <v>18</v>
      </c>
      <c r="I146" s="3"/>
    </row>
    <row r="147" spans="1:9">
      <c r="A147">
        <v>1069</v>
      </c>
      <c r="B147" t="s">
        <v>21</v>
      </c>
      <c r="C147" t="s">
        <v>17</v>
      </c>
      <c r="D147" s="1">
        <v>45017</v>
      </c>
      <c r="E147">
        <v>3775409</v>
      </c>
      <c r="F147">
        <v>3437639</v>
      </c>
      <c r="G147">
        <v>480</v>
      </c>
      <c r="H147" t="s">
        <v>20</v>
      </c>
      <c r="I147" s="3"/>
    </row>
    <row r="148" spans="1:9">
      <c r="A148">
        <v>1007</v>
      </c>
      <c r="B148" t="s">
        <v>11</v>
      </c>
      <c r="C148" t="s">
        <v>14</v>
      </c>
      <c r="D148" s="1">
        <v>45197</v>
      </c>
      <c r="E148">
        <v>4702423</v>
      </c>
      <c r="F148">
        <v>3743379</v>
      </c>
      <c r="G148">
        <v>58</v>
      </c>
      <c r="H148" t="s">
        <v>18</v>
      </c>
      <c r="I148" s="3"/>
    </row>
    <row r="149" spans="1:9">
      <c r="A149">
        <v>1015</v>
      </c>
      <c r="B149" t="s">
        <v>21</v>
      </c>
      <c r="C149" t="s">
        <v>17</v>
      </c>
      <c r="D149" s="1">
        <v>45197</v>
      </c>
      <c r="E149">
        <v>1134043</v>
      </c>
      <c r="F149">
        <v>3882486</v>
      </c>
      <c r="G149">
        <v>29</v>
      </c>
      <c r="H149" t="s">
        <v>10</v>
      </c>
      <c r="I149" s="3"/>
    </row>
    <row r="150" spans="1:9">
      <c r="A150">
        <v>1081</v>
      </c>
      <c r="B150" t="s">
        <v>16</v>
      </c>
      <c r="C150" t="s">
        <v>19</v>
      </c>
      <c r="D150" s="1">
        <v>44927</v>
      </c>
      <c r="E150">
        <v>1801191</v>
      </c>
      <c r="F150">
        <v>158340</v>
      </c>
      <c r="G150">
        <v>164</v>
      </c>
      <c r="H150" t="s">
        <v>18</v>
      </c>
      <c r="I150" s="3"/>
    </row>
    <row r="151" spans="1:9">
      <c r="A151">
        <v>1077</v>
      </c>
      <c r="B151" t="s">
        <v>21</v>
      </c>
      <c r="C151" t="s">
        <v>22</v>
      </c>
      <c r="D151" s="1">
        <v>45137</v>
      </c>
      <c r="E151">
        <v>2403215</v>
      </c>
      <c r="F151">
        <v>1172320</v>
      </c>
      <c r="G151">
        <v>292</v>
      </c>
      <c r="H151" t="s">
        <v>15</v>
      </c>
      <c r="I151" s="3"/>
    </row>
    <row r="152" spans="1:9">
      <c r="A152">
        <v>1057</v>
      </c>
      <c r="B152" t="s">
        <v>21</v>
      </c>
      <c r="C152" t="s">
        <v>12</v>
      </c>
      <c r="D152" s="1">
        <v>45047</v>
      </c>
      <c r="E152">
        <v>4569786</v>
      </c>
      <c r="F152">
        <v>2427159</v>
      </c>
      <c r="G152">
        <v>78</v>
      </c>
      <c r="H152" t="s">
        <v>15</v>
      </c>
      <c r="I152" s="3"/>
    </row>
    <row r="153" spans="1:9">
      <c r="A153">
        <v>1031</v>
      </c>
      <c r="B153" t="s">
        <v>13</v>
      </c>
      <c r="C153" t="s">
        <v>19</v>
      </c>
      <c r="D153" s="1">
        <v>44957</v>
      </c>
      <c r="E153">
        <v>3992986</v>
      </c>
      <c r="F153">
        <v>1662954</v>
      </c>
      <c r="G153">
        <v>307</v>
      </c>
      <c r="H153" t="s">
        <v>20</v>
      </c>
      <c r="I153" s="3"/>
    </row>
    <row r="154" spans="1:9">
      <c r="A154">
        <v>1003</v>
      </c>
      <c r="B154" t="s">
        <v>8</v>
      </c>
      <c r="C154" t="s">
        <v>12</v>
      </c>
      <c r="D154" s="1">
        <v>44987</v>
      </c>
      <c r="E154">
        <v>3657434</v>
      </c>
      <c r="F154">
        <v>1214585</v>
      </c>
      <c r="G154">
        <v>280</v>
      </c>
      <c r="H154" t="s">
        <v>18</v>
      </c>
      <c r="I154" s="3"/>
    </row>
    <row r="155" spans="1:9">
      <c r="A155">
        <v>1069</v>
      </c>
      <c r="B155" t="s">
        <v>21</v>
      </c>
      <c r="C155" t="s">
        <v>17</v>
      </c>
      <c r="D155" s="1">
        <v>44927</v>
      </c>
      <c r="E155">
        <v>3659464</v>
      </c>
      <c r="F155">
        <v>1336884</v>
      </c>
      <c r="G155">
        <v>273</v>
      </c>
      <c r="H155" t="s">
        <v>15</v>
      </c>
      <c r="I155" s="3"/>
    </row>
    <row r="156" spans="1:9">
      <c r="A156">
        <v>1025</v>
      </c>
      <c r="B156" t="s">
        <v>16</v>
      </c>
      <c r="C156" t="s">
        <v>19</v>
      </c>
      <c r="D156" s="1">
        <v>45227</v>
      </c>
      <c r="E156">
        <v>339592</v>
      </c>
      <c r="F156">
        <v>50705</v>
      </c>
      <c r="G156">
        <v>154</v>
      </c>
      <c r="H156" t="s">
        <v>10</v>
      </c>
      <c r="I156" s="3"/>
    </row>
    <row r="157" spans="1:9">
      <c r="A157">
        <v>1067</v>
      </c>
      <c r="B157" t="s">
        <v>13</v>
      </c>
      <c r="C157" t="s">
        <v>17</v>
      </c>
      <c r="D157" s="1">
        <v>44957</v>
      </c>
      <c r="E157">
        <v>3397643</v>
      </c>
      <c r="F157">
        <v>559125</v>
      </c>
      <c r="G157">
        <v>443</v>
      </c>
      <c r="H157" t="s">
        <v>20</v>
      </c>
      <c r="I157" s="3"/>
    </row>
    <row r="158" spans="1:9">
      <c r="A158">
        <v>1006</v>
      </c>
      <c r="B158" t="s">
        <v>16</v>
      </c>
      <c r="C158" t="s">
        <v>17</v>
      </c>
      <c r="D158" s="1">
        <v>45257</v>
      </c>
      <c r="E158">
        <v>3886351</v>
      </c>
      <c r="F158">
        <v>3670265</v>
      </c>
      <c r="G158">
        <v>457</v>
      </c>
      <c r="H158" t="s">
        <v>10</v>
      </c>
      <c r="I158" s="3"/>
    </row>
    <row r="159" spans="1:9">
      <c r="A159">
        <v>1031</v>
      </c>
      <c r="B159" t="s">
        <v>11</v>
      </c>
      <c r="C159" t="s">
        <v>14</v>
      </c>
      <c r="D159" s="1">
        <v>45257</v>
      </c>
      <c r="E159">
        <v>4161500</v>
      </c>
      <c r="F159">
        <v>63080</v>
      </c>
      <c r="G159">
        <v>428</v>
      </c>
      <c r="H159" t="s">
        <v>10</v>
      </c>
      <c r="I159" s="3"/>
    </row>
    <row r="160" spans="1:9">
      <c r="A160">
        <v>1074</v>
      </c>
      <c r="B160" t="s">
        <v>8</v>
      </c>
      <c r="C160" t="s">
        <v>12</v>
      </c>
      <c r="D160" s="1">
        <v>45077</v>
      </c>
      <c r="E160">
        <v>3230711</v>
      </c>
      <c r="F160">
        <v>2121857</v>
      </c>
      <c r="G160">
        <v>428</v>
      </c>
      <c r="H160" t="s">
        <v>15</v>
      </c>
      <c r="I160" s="3"/>
    </row>
    <row r="161" spans="1:9">
      <c r="A161">
        <v>1082</v>
      </c>
      <c r="B161" t="s">
        <v>21</v>
      </c>
      <c r="C161" t="s">
        <v>12</v>
      </c>
      <c r="D161" s="1">
        <v>44927</v>
      </c>
      <c r="E161">
        <v>2274179</v>
      </c>
      <c r="G161">
        <v>251</v>
      </c>
      <c r="H161" t="s">
        <v>18</v>
      </c>
      <c r="I161" s="3"/>
    </row>
    <row r="162" spans="1:9">
      <c r="A162">
        <v>1089</v>
      </c>
      <c r="B162" t="s">
        <v>8</v>
      </c>
      <c r="C162" t="s">
        <v>17</v>
      </c>
      <c r="D162" s="1">
        <v>45197</v>
      </c>
      <c r="E162">
        <v>3151297</v>
      </c>
      <c r="F162">
        <v>683036</v>
      </c>
      <c r="G162">
        <v>208</v>
      </c>
      <c r="H162" t="s">
        <v>18</v>
      </c>
      <c r="I162" s="3"/>
    </row>
    <row r="163" spans="1:9">
      <c r="A163">
        <v>1014</v>
      </c>
      <c r="B163" t="s">
        <v>16</v>
      </c>
      <c r="C163" t="s">
        <v>12</v>
      </c>
      <c r="D163" s="1">
        <v>44987</v>
      </c>
      <c r="E163">
        <v>2136673</v>
      </c>
      <c r="F163">
        <v>2414762</v>
      </c>
      <c r="G163">
        <v>196</v>
      </c>
      <c r="H163" t="s">
        <v>10</v>
      </c>
      <c r="I163" s="3"/>
    </row>
    <row r="164" spans="1:9">
      <c r="A164">
        <v>1053</v>
      </c>
      <c r="B164" t="s">
        <v>16</v>
      </c>
      <c r="C164" t="s">
        <v>19</v>
      </c>
      <c r="D164" s="1">
        <v>45107</v>
      </c>
      <c r="E164">
        <v>2680472</v>
      </c>
      <c r="F164">
        <v>3252974</v>
      </c>
      <c r="G164">
        <v>426</v>
      </c>
      <c r="H164" t="s">
        <v>20</v>
      </c>
      <c r="I164" s="3"/>
    </row>
    <row r="165" spans="1:9">
      <c r="A165">
        <v>1087</v>
      </c>
      <c r="B165" t="s">
        <v>11</v>
      </c>
      <c r="C165" t="s">
        <v>17</v>
      </c>
      <c r="D165" s="1">
        <v>45137</v>
      </c>
      <c r="E165">
        <v>3184835</v>
      </c>
      <c r="F165">
        <v>713337</v>
      </c>
      <c r="G165">
        <v>15</v>
      </c>
      <c r="H165" t="s">
        <v>18</v>
      </c>
      <c r="I165" s="3"/>
    </row>
    <row r="166" spans="1:9">
      <c r="A166">
        <v>1069</v>
      </c>
      <c r="B166" t="s">
        <v>21</v>
      </c>
      <c r="C166" t="s">
        <v>12</v>
      </c>
      <c r="D166" s="1">
        <v>45227</v>
      </c>
      <c r="E166">
        <v>-483826</v>
      </c>
      <c r="F166">
        <v>2447206</v>
      </c>
      <c r="G166">
        <v>153</v>
      </c>
      <c r="H166" t="s">
        <v>18</v>
      </c>
      <c r="I166" s="3"/>
    </row>
    <row r="167" spans="1:9">
      <c r="A167">
        <v>1001</v>
      </c>
      <c r="B167" t="s">
        <v>11</v>
      </c>
      <c r="C167" t="s">
        <v>14</v>
      </c>
      <c r="D167" s="1">
        <v>45167</v>
      </c>
      <c r="E167">
        <v>1347244</v>
      </c>
      <c r="F167">
        <v>422453</v>
      </c>
      <c r="G167">
        <v>133</v>
      </c>
      <c r="H167" t="s">
        <v>10</v>
      </c>
      <c r="I167" s="3"/>
    </row>
    <row r="168" spans="1:9">
      <c r="A168">
        <v>1059</v>
      </c>
      <c r="B168" t="s">
        <v>21</v>
      </c>
      <c r="C168" t="s">
        <v>12</v>
      </c>
      <c r="D168" s="1">
        <v>45107</v>
      </c>
      <c r="E168">
        <v>4084021</v>
      </c>
      <c r="F168">
        <v>495178</v>
      </c>
      <c r="G168">
        <v>190</v>
      </c>
      <c r="H168" t="s">
        <v>10</v>
      </c>
      <c r="I168" s="3"/>
    </row>
    <row r="169" spans="1:9">
      <c r="A169">
        <v>1033</v>
      </c>
      <c r="B169" t="s">
        <v>13</v>
      </c>
      <c r="C169" t="s">
        <v>14</v>
      </c>
      <c r="D169" s="1">
        <v>45137</v>
      </c>
      <c r="E169">
        <v>4337798</v>
      </c>
      <c r="F169">
        <v>3550515</v>
      </c>
      <c r="G169">
        <v>142</v>
      </c>
      <c r="H169" t="s">
        <v>18</v>
      </c>
      <c r="I169" s="3"/>
    </row>
    <row r="170" spans="1:9">
      <c r="A170">
        <v>1068</v>
      </c>
      <c r="B170" t="s">
        <v>11</v>
      </c>
      <c r="C170" t="s">
        <v>9</v>
      </c>
      <c r="D170" s="1">
        <v>45017</v>
      </c>
      <c r="E170">
        <v>3377801</v>
      </c>
      <c r="F170">
        <v>1045999</v>
      </c>
      <c r="G170">
        <v>219</v>
      </c>
      <c r="H170" t="s">
        <v>15</v>
      </c>
      <c r="I170" s="3"/>
    </row>
    <row r="171" spans="1:9">
      <c r="A171">
        <v>1048</v>
      </c>
      <c r="B171" t="s">
        <v>8</v>
      </c>
      <c r="C171" t="s">
        <v>14</v>
      </c>
      <c r="D171" s="1">
        <v>44987</v>
      </c>
      <c r="E171">
        <v>1114751</v>
      </c>
      <c r="F171">
        <v>2962423</v>
      </c>
      <c r="G171">
        <v>155</v>
      </c>
      <c r="H171" t="s">
        <v>15</v>
      </c>
      <c r="I171" s="3"/>
    </row>
    <row r="172" spans="1:9">
      <c r="A172">
        <v>1033</v>
      </c>
      <c r="B172" t="s">
        <v>16</v>
      </c>
      <c r="C172" t="s">
        <v>12</v>
      </c>
      <c r="D172" s="1">
        <v>45107</v>
      </c>
      <c r="E172">
        <v>1084081</v>
      </c>
      <c r="F172">
        <v>3521017</v>
      </c>
      <c r="G172">
        <v>65</v>
      </c>
      <c r="H172" t="s">
        <v>20</v>
      </c>
      <c r="I172" s="3"/>
    </row>
    <row r="173" spans="1:9">
      <c r="A173">
        <v>1057</v>
      </c>
      <c r="B173" t="s">
        <v>16</v>
      </c>
      <c r="C173" t="s">
        <v>19</v>
      </c>
      <c r="D173" s="1">
        <v>45257</v>
      </c>
      <c r="E173">
        <v>2933580</v>
      </c>
      <c r="F173">
        <v>96021</v>
      </c>
      <c r="G173">
        <v>34</v>
      </c>
      <c r="H173" t="s">
        <v>10</v>
      </c>
      <c r="I173" s="3"/>
    </row>
    <row r="174" spans="1:9">
      <c r="A174">
        <v>1073</v>
      </c>
      <c r="B174" t="s">
        <v>21</v>
      </c>
      <c r="C174" t="s">
        <v>12</v>
      </c>
      <c r="D174" s="1">
        <v>45107</v>
      </c>
      <c r="E174">
        <v>4726623</v>
      </c>
      <c r="F174">
        <v>743108</v>
      </c>
      <c r="G174">
        <v>432</v>
      </c>
      <c r="H174" t="s">
        <v>18</v>
      </c>
      <c r="I174" s="3"/>
    </row>
    <row r="175" spans="1:9">
      <c r="A175">
        <v>1061</v>
      </c>
      <c r="B175" t="s">
        <v>11</v>
      </c>
      <c r="C175" t="s">
        <v>19</v>
      </c>
      <c r="D175" s="1">
        <v>45047</v>
      </c>
      <c r="E175">
        <v>1474909</v>
      </c>
      <c r="F175">
        <v>397127</v>
      </c>
      <c r="G175">
        <v>75</v>
      </c>
      <c r="H175" t="s">
        <v>15</v>
      </c>
      <c r="I175" s="3"/>
    </row>
    <row r="176" spans="1:9">
      <c r="A176">
        <v>1062</v>
      </c>
      <c r="B176" t="s">
        <v>13</v>
      </c>
      <c r="C176" t="s">
        <v>22</v>
      </c>
      <c r="D176" s="1">
        <v>45197</v>
      </c>
      <c r="E176">
        <v>4809006</v>
      </c>
      <c r="F176">
        <v>82098</v>
      </c>
      <c r="G176">
        <v>494</v>
      </c>
      <c r="H176" t="s">
        <v>15</v>
      </c>
      <c r="I176" s="3"/>
    </row>
    <row r="177" spans="1:9">
      <c r="A177">
        <v>1070</v>
      </c>
      <c r="B177" t="s">
        <v>8</v>
      </c>
      <c r="C177" t="s">
        <v>17</v>
      </c>
      <c r="D177" s="1">
        <v>45107</v>
      </c>
      <c r="E177">
        <v>3379374</v>
      </c>
      <c r="F177">
        <v>1900734</v>
      </c>
      <c r="G177">
        <v>107</v>
      </c>
      <c r="H177" t="s">
        <v>15</v>
      </c>
      <c r="I177" s="3"/>
    </row>
    <row r="178" spans="1:9">
      <c r="A178">
        <v>1100</v>
      </c>
      <c r="B178" t="s">
        <v>11</v>
      </c>
      <c r="C178" t="s">
        <v>19</v>
      </c>
      <c r="D178" s="1">
        <v>45257</v>
      </c>
      <c r="E178">
        <v>3381468</v>
      </c>
      <c r="F178">
        <v>416967</v>
      </c>
      <c r="G178">
        <v>113</v>
      </c>
      <c r="H178" t="s">
        <v>15</v>
      </c>
      <c r="I178" s="3"/>
    </row>
    <row r="179" spans="1:9">
      <c r="A179">
        <v>1032</v>
      </c>
      <c r="B179" t="s">
        <v>8</v>
      </c>
      <c r="C179" t="s">
        <v>9</v>
      </c>
      <c r="D179" s="1">
        <v>45107</v>
      </c>
      <c r="E179">
        <v>2679084</v>
      </c>
      <c r="F179">
        <v>2755073</v>
      </c>
      <c r="G179">
        <v>177</v>
      </c>
      <c r="H179" t="s">
        <v>10</v>
      </c>
      <c r="I179" s="3"/>
    </row>
    <row r="180" spans="1:9">
      <c r="A180">
        <v>1081</v>
      </c>
      <c r="B180" t="s">
        <v>21</v>
      </c>
      <c r="C180" t="s">
        <v>12</v>
      </c>
      <c r="D180" s="1">
        <v>45107</v>
      </c>
      <c r="E180">
        <v>1231803</v>
      </c>
      <c r="F180">
        <v>1767019</v>
      </c>
      <c r="G180">
        <v>143</v>
      </c>
      <c r="H180" t="s">
        <v>10</v>
      </c>
      <c r="I180" s="3"/>
    </row>
    <row r="181" spans="1:9">
      <c r="A181">
        <v>1029</v>
      </c>
      <c r="B181" t="s">
        <v>16</v>
      </c>
      <c r="C181" t="s">
        <v>19</v>
      </c>
      <c r="D181" s="1">
        <v>45167</v>
      </c>
      <c r="E181">
        <v>89644220</v>
      </c>
      <c r="G181">
        <v>217</v>
      </c>
      <c r="H181" t="s">
        <v>18</v>
      </c>
      <c r="I181" s="3"/>
    </row>
    <row r="182" spans="1:9">
      <c r="A182">
        <v>1051</v>
      </c>
      <c r="B182" t="s">
        <v>8</v>
      </c>
      <c r="C182" t="s">
        <v>17</v>
      </c>
      <c r="D182" s="1">
        <v>45197</v>
      </c>
      <c r="E182">
        <v>2869895</v>
      </c>
      <c r="F182">
        <v>2100774</v>
      </c>
      <c r="G182">
        <v>422</v>
      </c>
      <c r="H182" t="s">
        <v>18</v>
      </c>
      <c r="I182" s="3"/>
    </row>
    <row r="183" spans="1:9">
      <c r="A183">
        <v>1030</v>
      </c>
      <c r="B183" t="s">
        <v>11</v>
      </c>
      <c r="C183" t="s">
        <v>17</v>
      </c>
      <c r="D183" s="1">
        <v>44987</v>
      </c>
      <c r="E183">
        <v>2062720</v>
      </c>
      <c r="F183">
        <v>2712846</v>
      </c>
      <c r="G183">
        <v>176</v>
      </c>
      <c r="H183" t="s">
        <v>10</v>
      </c>
      <c r="I183" s="3"/>
    </row>
    <row r="184" spans="1:9">
      <c r="A184">
        <v>1064</v>
      </c>
      <c r="B184" t="s">
        <v>11</v>
      </c>
      <c r="C184" t="s">
        <v>19</v>
      </c>
      <c r="D184" s="1">
        <v>45197</v>
      </c>
      <c r="E184">
        <v>892038</v>
      </c>
      <c r="F184">
        <v>342363</v>
      </c>
      <c r="G184">
        <v>447</v>
      </c>
      <c r="H184" t="s">
        <v>15</v>
      </c>
      <c r="I184" s="3"/>
    </row>
    <row r="185" spans="1:9">
      <c r="A185">
        <v>1045</v>
      </c>
      <c r="B185" t="s">
        <v>11</v>
      </c>
      <c r="C185" t="s">
        <v>14</v>
      </c>
      <c r="D185" s="1">
        <v>44927</v>
      </c>
      <c r="E185">
        <v>808319</v>
      </c>
      <c r="F185">
        <v>63749</v>
      </c>
      <c r="G185">
        <v>323</v>
      </c>
      <c r="H185" t="s">
        <v>20</v>
      </c>
      <c r="I185" s="3"/>
    </row>
    <row r="186" spans="1:9">
      <c r="A186">
        <v>1037</v>
      </c>
      <c r="B186" t="s">
        <v>13</v>
      </c>
      <c r="C186" t="s">
        <v>17</v>
      </c>
      <c r="D186" s="1">
        <v>44927</v>
      </c>
      <c r="E186">
        <v>285883</v>
      </c>
      <c r="F186">
        <v>378734</v>
      </c>
      <c r="G186">
        <v>111</v>
      </c>
      <c r="H186" t="s">
        <v>10</v>
      </c>
      <c r="I186" s="3"/>
    </row>
    <row r="187" spans="1:9">
      <c r="A187">
        <v>1100</v>
      </c>
      <c r="B187" t="s">
        <v>8</v>
      </c>
      <c r="C187" t="s">
        <v>9</v>
      </c>
      <c r="D187" s="1">
        <v>45167</v>
      </c>
      <c r="E187">
        <v>4056982</v>
      </c>
      <c r="F187">
        <v>2011492</v>
      </c>
      <c r="G187">
        <v>164</v>
      </c>
      <c r="H187" t="s">
        <v>15</v>
      </c>
      <c r="I187" s="3"/>
    </row>
    <row r="188" spans="1:9">
      <c r="A188">
        <v>1069</v>
      </c>
      <c r="B188" t="s">
        <v>11</v>
      </c>
      <c r="C188" t="s">
        <v>12</v>
      </c>
      <c r="D188" s="1">
        <v>45197</v>
      </c>
      <c r="E188">
        <v>3765427</v>
      </c>
      <c r="F188">
        <v>2770096</v>
      </c>
      <c r="G188">
        <v>325</v>
      </c>
      <c r="H188" t="s">
        <v>20</v>
      </c>
      <c r="I188" s="3"/>
    </row>
    <row r="189" spans="1:9">
      <c r="A189">
        <v>1069</v>
      </c>
      <c r="B189" t="s">
        <v>16</v>
      </c>
      <c r="C189" t="s">
        <v>12</v>
      </c>
      <c r="D189" s="1">
        <v>45137</v>
      </c>
      <c r="E189">
        <v>882325</v>
      </c>
      <c r="F189">
        <v>579610</v>
      </c>
      <c r="G189">
        <v>456</v>
      </c>
      <c r="H189" t="s">
        <v>15</v>
      </c>
      <c r="I189" s="3"/>
    </row>
    <row r="190" spans="1:9">
      <c r="A190">
        <v>1077</v>
      </c>
      <c r="B190" t="s">
        <v>11</v>
      </c>
      <c r="C190" t="s">
        <v>14</v>
      </c>
      <c r="D190" s="1">
        <v>45107</v>
      </c>
      <c r="E190">
        <v>4900923</v>
      </c>
      <c r="F190">
        <v>77354</v>
      </c>
      <c r="G190">
        <v>217</v>
      </c>
      <c r="H190" t="s">
        <v>18</v>
      </c>
      <c r="I190" s="3"/>
    </row>
    <row r="191" spans="1:9">
      <c r="A191">
        <v>1031</v>
      </c>
      <c r="B191" t="s">
        <v>21</v>
      </c>
      <c r="C191" t="s">
        <v>14</v>
      </c>
      <c r="D191" s="1">
        <v>44927</v>
      </c>
      <c r="E191">
        <v>3153213</v>
      </c>
      <c r="F191">
        <v>2210828</v>
      </c>
      <c r="G191">
        <v>250</v>
      </c>
      <c r="H191" t="s">
        <v>10</v>
      </c>
      <c r="I191" s="3"/>
    </row>
    <row r="192" spans="1:9">
      <c r="A192">
        <v>1052</v>
      </c>
      <c r="B192" t="s">
        <v>11</v>
      </c>
      <c r="C192" t="s">
        <v>17</v>
      </c>
      <c r="D192" s="1">
        <v>45227</v>
      </c>
      <c r="E192">
        <v>3247053</v>
      </c>
      <c r="F192">
        <v>887895</v>
      </c>
      <c r="G192">
        <v>217</v>
      </c>
      <c r="H192" t="s">
        <v>15</v>
      </c>
      <c r="I192" s="3"/>
    </row>
    <row r="193" spans="1:9">
      <c r="A193">
        <v>1065</v>
      </c>
      <c r="B193" t="s">
        <v>21</v>
      </c>
      <c r="C193" t="s">
        <v>9</v>
      </c>
      <c r="D193" s="1">
        <v>44987</v>
      </c>
      <c r="E193">
        <v>3292645</v>
      </c>
      <c r="F193">
        <v>3484918</v>
      </c>
      <c r="G193">
        <v>382</v>
      </c>
      <c r="H193" t="s">
        <v>18</v>
      </c>
      <c r="I193" s="3"/>
    </row>
    <row r="194" spans="1:9">
      <c r="A194">
        <v>1055</v>
      </c>
      <c r="B194" t="s">
        <v>16</v>
      </c>
      <c r="C194" t="s">
        <v>12</v>
      </c>
      <c r="D194" s="1">
        <v>44957</v>
      </c>
      <c r="E194">
        <v>572706</v>
      </c>
      <c r="F194">
        <v>847592</v>
      </c>
      <c r="G194">
        <v>228</v>
      </c>
      <c r="H194" t="s">
        <v>15</v>
      </c>
      <c r="I194" s="3"/>
    </row>
    <row r="195" spans="1:9">
      <c r="A195">
        <v>1066</v>
      </c>
      <c r="B195" t="s">
        <v>16</v>
      </c>
      <c r="C195" t="s">
        <v>12</v>
      </c>
      <c r="D195" s="1">
        <v>44987</v>
      </c>
      <c r="E195">
        <v>3261520</v>
      </c>
      <c r="F195">
        <v>2544973</v>
      </c>
      <c r="G195">
        <v>353</v>
      </c>
      <c r="H195" t="s">
        <v>10</v>
      </c>
      <c r="I195" s="3"/>
    </row>
    <row r="196" spans="1:9">
      <c r="A196">
        <v>1028</v>
      </c>
      <c r="B196" t="s">
        <v>8</v>
      </c>
      <c r="C196" t="s">
        <v>12</v>
      </c>
      <c r="D196" s="1">
        <v>45077</v>
      </c>
      <c r="E196">
        <v>2870005</v>
      </c>
      <c r="F196">
        <v>155861</v>
      </c>
      <c r="G196">
        <v>277</v>
      </c>
      <c r="H196" t="s">
        <v>10</v>
      </c>
      <c r="I196" s="3"/>
    </row>
    <row r="197" spans="1:9">
      <c r="A197">
        <v>1083</v>
      </c>
      <c r="B197" t="s">
        <v>21</v>
      </c>
      <c r="C197" t="s">
        <v>14</v>
      </c>
      <c r="D197" s="1">
        <v>45077</v>
      </c>
      <c r="E197">
        <v>1232121</v>
      </c>
      <c r="F197">
        <v>280062</v>
      </c>
      <c r="G197">
        <v>381</v>
      </c>
      <c r="H197" t="s">
        <v>10</v>
      </c>
      <c r="I197" s="3"/>
    </row>
    <row r="198" spans="1:9">
      <c r="A198">
        <v>1074</v>
      </c>
      <c r="B198" t="s">
        <v>16</v>
      </c>
      <c r="C198" t="s">
        <v>17</v>
      </c>
      <c r="D198" s="1">
        <v>45047</v>
      </c>
      <c r="E198">
        <v>2071859</v>
      </c>
      <c r="F198">
        <v>3311588</v>
      </c>
      <c r="G198">
        <v>144</v>
      </c>
      <c r="H198" t="s">
        <v>18</v>
      </c>
      <c r="I198" s="3"/>
    </row>
    <row r="199" spans="1:9">
      <c r="A199">
        <v>1040</v>
      </c>
      <c r="B199" t="s">
        <v>16</v>
      </c>
      <c r="C199" t="s">
        <v>17</v>
      </c>
      <c r="D199" s="1">
        <v>45137</v>
      </c>
      <c r="E199">
        <v>-3560884</v>
      </c>
      <c r="F199">
        <v>3556797</v>
      </c>
      <c r="G199">
        <v>360</v>
      </c>
      <c r="H199" t="s">
        <v>15</v>
      </c>
      <c r="I199" s="3"/>
    </row>
    <row r="200" spans="1:9">
      <c r="A200">
        <v>1038</v>
      </c>
      <c r="B200" t="s">
        <v>16</v>
      </c>
      <c r="C200" t="s">
        <v>17</v>
      </c>
      <c r="D200" s="1">
        <v>44987</v>
      </c>
      <c r="E200">
        <v>1090447</v>
      </c>
      <c r="F200">
        <v>2530205</v>
      </c>
      <c r="G200">
        <v>29</v>
      </c>
      <c r="H200" t="s">
        <v>18</v>
      </c>
      <c r="I200" s="3"/>
    </row>
    <row r="201" spans="1:9">
      <c r="A201">
        <v>1045</v>
      </c>
      <c r="B201" t="s">
        <v>21</v>
      </c>
      <c r="C201" t="s">
        <v>22</v>
      </c>
      <c r="D201" s="1">
        <v>45047</v>
      </c>
      <c r="E201">
        <v>4577348</v>
      </c>
      <c r="G201">
        <v>203</v>
      </c>
      <c r="H201" t="s">
        <v>18</v>
      </c>
      <c r="I201" s="3"/>
    </row>
    <row r="202" spans="1:9">
      <c r="A202">
        <v>1002</v>
      </c>
      <c r="B202" t="s">
        <v>16</v>
      </c>
      <c r="C202" t="s">
        <v>19</v>
      </c>
      <c r="D202" s="1">
        <v>44957</v>
      </c>
      <c r="E202">
        <v>1489333</v>
      </c>
      <c r="F202">
        <v>46974</v>
      </c>
      <c r="G202">
        <v>429</v>
      </c>
      <c r="H202" t="s">
        <v>18</v>
      </c>
      <c r="I202" s="3"/>
    </row>
    <row r="203" spans="1:9">
      <c r="A203">
        <v>1032</v>
      </c>
      <c r="B203" t="s">
        <v>8</v>
      </c>
      <c r="C203" t="s">
        <v>12</v>
      </c>
      <c r="D203" s="1">
        <v>44957</v>
      </c>
      <c r="E203">
        <v>3783053</v>
      </c>
      <c r="F203">
        <v>3732739</v>
      </c>
      <c r="G203">
        <v>491</v>
      </c>
      <c r="H203" t="s">
        <v>15</v>
      </c>
      <c r="I203" s="3"/>
    </row>
    <row r="204" spans="1:9">
      <c r="A204">
        <v>1043</v>
      </c>
      <c r="B204" t="s">
        <v>13</v>
      </c>
      <c r="C204" t="s">
        <v>19</v>
      </c>
      <c r="D204" s="1">
        <v>45257</v>
      </c>
      <c r="E204">
        <v>1714287</v>
      </c>
      <c r="F204">
        <v>1640581</v>
      </c>
      <c r="G204">
        <v>106</v>
      </c>
      <c r="H204" t="s">
        <v>18</v>
      </c>
      <c r="I204" s="3"/>
    </row>
    <row r="205" spans="1:9">
      <c r="A205">
        <v>1018</v>
      </c>
      <c r="B205" t="s">
        <v>21</v>
      </c>
      <c r="C205" t="s">
        <v>14</v>
      </c>
      <c r="D205" s="1">
        <v>45107</v>
      </c>
      <c r="E205">
        <v>718798</v>
      </c>
      <c r="F205">
        <v>3947905</v>
      </c>
      <c r="G205">
        <v>187</v>
      </c>
      <c r="H205" t="s">
        <v>20</v>
      </c>
      <c r="I205" s="3"/>
    </row>
    <row r="206" spans="1:9">
      <c r="A206">
        <v>1003</v>
      </c>
      <c r="B206" t="s">
        <v>16</v>
      </c>
      <c r="C206" t="s">
        <v>12</v>
      </c>
      <c r="D206" s="1">
        <v>45137</v>
      </c>
      <c r="E206">
        <v>1916124</v>
      </c>
      <c r="F206">
        <v>3671157</v>
      </c>
      <c r="G206">
        <v>335</v>
      </c>
      <c r="H206" t="s">
        <v>10</v>
      </c>
      <c r="I206" s="3"/>
    </row>
    <row r="207" spans="1:9">
      <c r="A207">
        <v>1036</v>
      </c>
      <c r="B207" t="s">
        <v>8</v>
      </c>
      <c r="C207" t="s">
        <v>9</v>
      </c>
      <c r="D207" s="1">
        <v>45257</v>
      </c>
      <c r="E207">
        <v>4184193</v>
      </c>
      <c r="F207">
        <v>2780974</v>
      </c>
      <c r="G207">
        <v>280</v>
      </c>
      <c r="H207" t="s">
        <v>10</v>
      </c>
      <c r="I207" s="3"/>
    </row>
    <row r="208" spans="1:9">
      <c r="A208">
        <v>1070</v>
      </c>
      <c r="B208" t="s">
        <v>13</v>
      </c>
      <c r="C208" t="s">
        <v>19</v>
      </c>
      <c r="D208" s="1">
        <v>45257</v>
      </c>
      <c r="E208">
        <v>2191047</v>
      </c>
      <c r="F208">
        <v>3942335</v>
      </c>
      <c r="G208">
        <v>487</v>
      </c>
      <c r="H208" t="s">
        <v>10</v>
      </c>
      <c r="I208" s="3"/>
    </row>
    <row r="209" spans="1:9">
      <c r="A209">
        <v>1027</v>
      </c>
      <c r="B209" t="s">
        <v>16</v>
      </c>
      <c r="C209" t="s">
        <v>12</v>
      </c>
      <c r="D209" s="1">
        <v>44957</v>
      </c>
      <c r="E209">
        <v>3338161</v>
      </c>
      <c r="F209">
        <v>2328806</v>
      </c>
      <c r="G209">
        <v>292</v>
      </c>
      <c r="H209" t="s">
        <v>18</v>
      </c>
      <c r="I209" s="3"/>
    </row>
    <row r="210" spans="1:9">
      <c r="A210">
        <v>1024</v>
      </c>
      <c r="B210" t="s">
        <v>8</v>
      </c>
      <c r="C210" t="s">
        <v>9</v>
      </c>
      <c r="D210" s="1">
        <v>45077</v>
      </c>
      <c r="E210">
        <v>2207867</v>
      </c>
      <c r="F210">
        <v>960796</v>
      </c>
      <c r="G210">
        <v>275</v>
      </c>
      <c r="H210" t="s">
        <v>15</v>
      </c>
      <c r="I210" s="3"/>
    </row>
    <row r="211" spans="1:9">
      <c r="A211">
        <v>1065</v>
      </c>
      <c r="B211" t="s">
        <v>11</v>
      </c>
      <c r="C211" t="s">
        <v>12</v>
      </c>
      <c r="D211" s="1">
        <v>44957</v>
      </c>
      <c r="E211">
        <v>3736672</v>
      </c>
      <c r="F211">
        <v>3958244</v>
      </c>
      <c r="G211">
        <v>109</v>
      </c>
      <c r="H211" t="s">
        <v>20</v>
      </c>
      <c r="I211" s="3"/>
    </row>
    <row r="212" spans="1:9">
      <c r="A212">
        <v>1082</v>
      </c>
      <c r="B212" t="s">
        <v>11</v>
      </c>
      <c r="C212" t="s">
        <v>19</v>
      </c>
      <c r="D212" s="1">
        <v>45077</v>
      </c>
      <c r="E212">
        <v>732687</v>
      </c>
      <c r="F212">
        <v>878016</v>
      </c>
      <c r="G212">
        <v>60</v>
      </c>
      <c r="H212" t="s">
        <v>15</v>
      </c>
      <c r="I212" s="3"/>
    </row>
    <row r="213" spans="1:9">
      <c r="A213">
        <v>1069</v>
      </c>
      <c r="B213" t="s">
        <v>8</v>
      </c>
      <c r="C213" t="s">
        <v>19</v>
      </c>
      <c r="D213" s="1">
        <v>45227</v>
      </c>
      <c r="E213">
        <v>2666599</v>
      </c>
      <c r="F213">
        <v>465280</v>
      </c>
      <c r="G213">
        <v>138</v>
      </c>
      <c r="H213" t="s">
        <v>15</v>
      </c>
      <c r="I213" s="3"/>
    </row>
    <row r="214" spans="1:9">
      <c r="A214">
        <v>1017</v>
      </c>
      <c r="B214" t="s">
        <v>11</v>
      </c>
      <c r="C214" t="s">
        <v>14</v>
      </c>
      <c r="D214" s="1">
        <v>45107</v>
      </c>
      <c r="E214">
        <v>4886093</v>
      </c>
      <c r="F214">
        <v>762340</v>
      </c>
      <c r="G214">
        <v>364</v>
      </c>
      <c r="H214" t="s">
        <v>15</v>
      </c>
      <c r="I214" s="3"/>
    </row>
    <row r="215" spans="1:9">
      <c r="A215">
        <v>1004</v>
      </c>
      <c r="B215" t="s">
        <v>11</v>
      </c>
      <c r="C215" t="s">
        <v>12</v>
      </c>
      <c r="D215" s="1">
        <v>45227</v>
      </c>
      <c r="E215">
        <v>4742051</v>
      </c>
      <c r="F215">
        <v>600865</v>
      </c>
      <c r="G215">
        <v>63</v>
      </c>
      <c r="H215" t="s">
        <v>10</v>
      </c>
      <c r="I215" s="3"/>
    </row>
    <row r="216" spans="1:9">
      <c r="A216">
        <v>1070</v>
      </c>
      <c r="B216" t="s">
        <v>8</v>
      </c>
      <c r="C216" t="s">
        <v>19</v>
      </c>
      <c r="D216" s="1">
        <v>45077</v>
      </c>
      <c r="E216">
        <v>2409228</v>
      </c>
      <c r="F216">
        <v>988457</v>
      </c>
      <c r="G216">
        <v>426</v>
      </c>
      <c r="H216" t="s">
        <v>10</v>
      </c>
      <c r="I216" s="3"/>
    </row>
    <row r="217" spans="1:9">
      <c r="A217">
        <v>1072</v>
      </c>
      <c r="B217" t="s">
        <v>13</v>
      </c>
      <c r="C217" t="s">
        <v>9</v>
      </c>
      <c r="D217" s="1">
        <v>44957</v>
      </c>
      <c r="E217">
        <v>325579</v>
      </c>
      <c r="F217">
        <v>3260358</v>
      </c>
      <c r="G217">
        <v>166</v>
      </c>
      <c r="H217" t="s">
        <v>18</v>
      </c>
      <c r="I217" s="3"/>
    </row>
    <row r="218" spans="1:9">
      <c r="A218">
        <v>1096</v>
      </c>
      <c r="B218" t="s">
        <v>11</v>
      </c>
      <c r="C218" t="s">
        <v>12</v>
      </c>
      <c r="D218" s="1">
        <v>44987</v>
      </c>
      <c r="E218">
        <v>3298769</v>
      </c>
      <c r="F218">
        <v>1363159</v>
      </c>
      <c r="G218">
        <v>236</v>
      </c>
      <c r="H218" t="s">
        <v>15</v>
      </c>
      <c r="I218" s="3"/>
    </row>
    <row r="219" spans="1:9">
      <c r="A219">
        <v>1038</v>
      </c>
      <c r="B219" t="s">
        <v>21</v>
      </c>
      <c r="C219" t="s">
        <v>17</v>
      </c>
      <c r="D219" s="1">
        <v>44927</v>
      </c>
      <c r="E219">
        <v>1954721</v>
      </c>
      <c r="F219">
        <v>1217299</v>
      </c>
      <c r="G219">
        <v>451</v>
      </c>
      <c r="H219" t="s">
        <v>20</v>
      </c>
      <c r="I219" s="3"/>
    </row>
    <row r="220" spans="1:9">
      <c r="A220">
        <v>1013</v>
      </c>
      <c r="B220" t="s">
        <v>13</v>
      </c>
      <c r="C220" t="s">
        <v>19</v>
      </c>
      <c r="D220" s="1">
        <v>45017</v>
      </c>
      <c r="E220">
        <v>2672514</v>
      </c>
      <c r="F220">
        <v>1329726</v>
      </c>
      <c r="G220">
        <v>149</v>
      </c>
      <c r="H220" t="s">
        <v>15</v>
      </c>
      <c r="I220" s="3"/>
    </row>
    <row r="221" spans="1:9">
      <c r="A221">
        <v>1011</v>
      </c>
      <c r="B221" t="s">
        <v>13</v>
      </c>
      <c r="C221" t="s">
        <v>12</v>
      </c>
      <c r="D221" s="1">
        <v>45167</v>
      </c>
      <c r="E221">
        <v>1588927</v>
      </c>
      <c r="G221">
        <v>485</v>
      </c>
      <c r="H221" t="s">
        <v>18</v>
      </c>
      <c r="I221" s="3"/>
    </row>
    <row r="222" spans="1:9">
      <c r="A222">
        <v>1048</v>
      </c>
      <c r="B222" t="s">
        <v>13</v>
      </c>
      <c r="C222" t="s">
        <v>17</v>
      </c>
      <c r="D222" s="1">
        <v>45197</v>
      </c>
      <c r="E222">
        <v>2921141</v>
      </c>
      <c r="F222">
        <v>1458677</v>
      </c>
      <c r="G222">
        <v>427</v>
      </c>
      <c r="H222" t="s">
        <v>10</v>
      </c>
      <c r="I222" s="3"/>
    </row>
    <row r="223" spans="1:9">
      <c r="A223">
        <v>1063</v>
      </c>
      <c r="B223" t="s">
        <v>21</v>
      </c>
      <c r="C223" t="s">
        <v>19</v>
      </c>
      <c r="D223" s="1">
        <v>44927</v>
      </c>
      <c r="E223">
        <v>1229148</v>
      </c>
      <c r="F223">
        <v>278515</v>
      </c>
      <c r="G223">
        <v>342</v>
      </c>
      <c r="H223" t="s">
        <v>18</v>
      </c>
      <c r="I223" s="3"/>
    </row>
    <row r="224" spans="1:9">
      <c r="A224">
        <v>1054</v>
      </c>
      <c r="B224" t="s">
        <v>16</v>
      </c>
      <c r="C224" t="s">
        <v>9</v>
      </c>
      <c r="D224" s="1">
        <v>45017</v>
      </c>
      <c r="E224">
        <v>1196104</v>
      </c>
      <c r="F224">
        <v>3433292</v>
      </c>
      <c r="G224">
        <v>377</v>
      </c>
      <c r="H224" t="s">
        <v>20</v>
      </c>
      <c r="I224" s="3"/>
    </row>
    <row r="225" spans="1:9">
      <c r="A225">
        <v>1007</v>
      </c>
      <c r="B225" t="s">
        <v>13</v>
      </c>
      <c r="C225" t="s">
        <v>19</v>
      </c>
      <c r="D225" s="1">
        <v>45197</v>
      </c>
      <c r="E225">
        <v>3937541</v>
      </c>
      <c r="F225">
        <v>2838083</v>
      </c>
      <c r="G225">
        <v>68</v>
      </c>
      <c r="H225" t="s">
        <v>10</v>
      </c>
      <c r="I225" s="3"/>
    </row>
    <row r="226" spans="1:9">
      <c r="A226">
        <v>1073</v>
      </c>
      <c r="B226" t="s">
        <v>21</v>
      </c>
      <c r="C226" t="s">
        <v>22</v>
      </c>
      <c r="D226" s="1">
        <v>45017</v>
      </c>
      <c r="E226">
        <v>15900140</v>
      </c>
      <c r="F226">
        <v>2673147</v>
      </c>
      <c r="G226">
        <v>114</v>
      </c>
      <c r="H226" t="s">
        <v>20</v>
      </c>
      <c r="I226" s="3"/>
    </row>
    <row r="227" spans="1:9">
      <c r="A227">
        <v>1017</v>
      </c>
      <c r="B227" t="s">
        <v>8</v>
      </c>
      <c r="C227" t="s">
        <v>12</v>
      </c>
      <c r="D227" s="1">
        <v>45107</v>
      </c>
      <c r="E227">
        <v>938113</v>
      </c>
      <c r="F227">
        <v>1707586</v>
      </c>
      <c r="G227">
        <v>120</v>
      </c>
      <c r="H227" t="s">
        <v>20</v>
      </c>
      <c r="I227" s="3"/>
    </row>
    <row r="228" spans="1:9">
      <c r="A228">
        <v>1076</v>
      </c>
      <c r="B228" t="s">
        <v>13</v>
      </c>
      <c r="C228" t="s">
        <v>12</v>
      </c>
      <c r="D228" s="1">
        <v>45167</v>
      </c>
      <c r="E228">
        <v>1188537</v>
      </c>
      <c r="F228">
        <v>615173</v>
      </c>
      <c r="G228">
        <v>420</v>
      </c>
      <c r="H228" t="s">
        <v>20</v>
      </c>
      <c r="I228" s="3"/>
    </row>
    <row r="229" spans="1:9">
      <c r="A229">
        <v>1021</v>
      </c>
      <c r="B229" t="s">
        <v>16</v>
      </c>
      <c r="C229" t="s">
        <v>9</v>
      </c>
      <c r="D229" s="1">
        <v>45107</v>
      </c>
      <c r="E229">
        <v>1957556</v>
      </c>
      <c r="F229">
        <v>2509093</v>
      </c>
      <c r="G229">
        <v>207</v>
      </c>
      <c r="H229" t="s">
        <v>15</v>
      </c>
      <c r="I229" s="3"/>
    </row>
    <row r="230" spans="1:9">
      <c r="A230">
        <v>1079</v>
      </c>
      <c r="B230" t="s">
        <v>11</v>
      </c>
      <c r="C230" t="s">
        <v>14</v>
      </c>
      <c r="D230" s="1">
        <v>45017</v>
      </c>
      <c r="E230">
        <v>2970150</v>
      </c>
      <c r="F230">
        <v>1063823</v>
      </c>
      <c r="G230">
        <v>248</v>
      </c>
      <c r="H230" t="s">
        <v>10</v>
      </c>
      <c r="I230" s="3"/>
    </row>
    <row r="231" spans="1:9">
      <c r="A231">
        <v>1062</v>
      </c>
      <c r="B231" t="s">
        <v>13</v>
      </c>
      <c r="C231" t="s">
        <v>17</v>
      </c>
      <c r="D231" s="1">
        <v>44927</v>
      </c>
      <c r="E231">
        <v>2208864</v>
      </c>
      <c r="F231">
        <v>3297525</v>
      </c>
      <c r="G231">
        <v>391</v>
      </c>
      <c r="H231" t="s">
        <v>15</v>
      </c>
      <c r="I231" s="3"/>
    </row>
    <row r="232" spans="1:9">
      <c r="A232">
        <v>1031</v>
      </c>
      <c r="B232" t="s">
        <v>8</v>
      </c>
      <c r="C232" t="s">
        <v>9</v>
      </c>
      <c r="D232" s="1">
        <v>45197</v>
      </c>
      <c r="E232">
        <v>-4591400</v>
      </c>
      <c r="F232">
        <v>2173787</v>
      </c>
      <c r="G232">
        <v>238</v>
      </c>
      <c r="H232" t="s">
        <v>18</v>
      </c>
      <c r="I232" s="3"/>
    </row>
    <row r="233" spans="1:9">
      <c r="A233">
        <v>1002</v>
      </c>
      <c r="B233" t="s">
        <v>11</v>
      </c>
      <c r="C233" t="s">
        <v>9</v>
      </c>
      <c r="D233" s="1">
        <v>45167</v>
      </c>
      <c r="E233">
        <v>1093356</v>
      </c>
      <c r="F233">
        <v>3544202</v>
      </c>
      <c r="G233">
        <v>416</v>
      </c>
      <c r="H233" t="s">
        <v>10</v>
      </c>
      <c r="I233" s="3"/>
    </row>
    <row r="234" spans="1:9">
      <c r="A234">
        <v>1029</v>
      </c>
      <c r="B234" t="s">
        <v>8</v>
      </c>
      <c r="C234" t="s">
        <v>17</v>
      </c>
      <c r="D234" s="1">
        <v>45137</v>
      </c>
      <c r="E234">
        <v>2257215</v>
      </c>
      <c r="F234">
        <v>1957620</v>
      </c>
      <c r="G234">
        <v>310</v>
      </c>
      <c r="H234" t="s">
        <v>15</v>
      </c>
      <c r="I234" s="3"/>
    </row>
    <row r="235" spans="1:9">
      <c r="A235">
        <v>1097</v>
      </c>
      <c r="B235" t="s">
        <v>21</v>
      </c>
      <c r="C235" t="s">
        <v>19</v>
      </c>
      <c r="D235" s="1">
        <v>45197</v>
      </c>
      <c r="E235">
        <v>1336802</v>
      </c>
      <c r="F235">
        <v>1374423</v>
      </c>
      <c r="G235">
        <v>335</v>
      </c>
      <c r="H235" t="s">
        <v>18</v>
      </c>
      <c r="I235" s="3"/>
    </row>
    <row r="236" spans="1:9">
      <c r="A236">
        <v>1004</v>
      </c>
      <c r="B236" t="s">
        <v>16</v>
      </c>
      <c r="C236" t="s">
        <v>14</v>
      </c>
      <c r="D236" s="1">
        <v>44927</v>
      </c>
      <c r="E236">
        <v>3781813</v>
      </c>
      <c r="F236">
        <v>1811973</v>
      </c>
      <c r="G236">
        <v>438</v>
      </c>
      <c r="H236" t="s">
        <v>15</v>
      </c>
      <c r="I236" s="3"/>
    </row>
    <row r="237" spans="1:9">
      <c r="A237">
        <v>1060</v>
      </c>
      <c r="B237" t="s">
        <v>13</v>
      </c>
      <c r="C237" t="s">
        <v>14</v>
      </c>
      <c r="D237" s="1">
        <v>45017</v>
      </c>
      <c r="E237">
        <v>3829559</v>
      </c>
      <c r="F237">
        <v>2765760</v>
      </c>
      <c r="G237">
        <v>495</v>
      </c>
      <c r="H237" t="s">
        <v>15</v>
      </c>
      <c r="I237" s="3"/>
    </row>
    <row r="238" spans="1:9">
      <c r="A238">
        <v>1020</v>
      </c>
      <c r="B238" t="s">
        <v>13</v>
      </c>
      <c r="C238" t="s">
        <v>17</v>
      </c>
      <c r="D238" s="1">
        <v>45137</v>
      </c>
      <c r="E238">
        <v>3767103</v>
      </c>
      <c r="F238">
        <v>2291574</v>
      </c>
      <c r="G238">
        <v>276</v>
      </c>
      <c r="H238" t="s">
        <v>20</v>
      </c>
      <c r="I238" s="3"/>
    </row>
    <row r="239" spans="1:9">
      <c r="A239">
        <v>1072</v>
      </c>
      <c r="B239" t="s">
        <v>21</v>
      </c>
      <c r="C239" t="s">
        <v>9</v>
      </c>
      <c r="D239" s="1">
        <v>45107</v>
      </c>
      <c r="E239">
        <v>2552615</v>
      </c>
      <c r="F239">
        <v>897685</v>
      </c>
      <c r="G239">
        <v>42</v>
      </c>
      <c r="H239" t="s">
        <v>20</v>
      </c>
      <c r="I239" s="3"/>
    </row>
    <row r="240" spans="1:9">
      <c r="A240">
        <v>1046</v>
      </c>
      <c r="B240" t="s">
        <v>8</v>
      </c>
      <c r="C240" t="s">
        <v>12</v>
      </c>
      <c r="D240" s="1">
        <v>44927</v>
      </c>
      <c r="E240">
        <v>2799448</v>
      </c>
      <c r="F240">
        <v>3903778</v>
      </c>
      <c r="G240">
        <v>225</v>
      </c>
      <c r="H240" t="s">
        <v>15</v>
      </c>
      <c r="I240" s="3"/>
    </row>
    <row r="241" spans="1:9">
      <c r="A241">
        <v>1055</v>
      </c>
      <c r="B241" t="s">
        <v>21</v>
      </c>
      <c r="C241" t="s">
        <v>14</v>
      </c>
      <c r="D241" s="1">
        <v>45107</v>
      </c>
      <c r="E241">
        <v>3770519</v>
      </c>
      <c r="G241">
        <v>281</v>
      </c>
      <c r="H241" t="s">
        <v>10</v>
      </c>
      <c r="I241" s="3"/>
    </row>
    <row r="242" spans="1:9">
      <c r="A242">
        <v>1083</v>
      </c>
      <c r="B242" t="s">
        <v>8</v>
      </c>
      <c r="C242" t="s">
        <v>9</v>
      </c>
      <c r="D242" s="1">
        <v>45227</v>
      </c>
      <c r="E242">
        <v>4639363</v>
      </c>
      <c r="F242">
        <v>1635977</v>
      </c>
      <c r="G242">
        <v>416</v>
      </c>
      <c r="H242" t="s">
        <v>10</v>
      </c>
      <c r="I242" s="3"/>
    </row>
    <row r="243" spans="1:9">
      <c r="A243">
        <v>1018</v>
      </c>
      <c r="B243" t="s">
        <v>11</v>
      </c>
      <c r="C243" t="s">
        <v>12</v>
      </c>
      <c r="D243" s="1">
        <v>45167</v>
      </c>
      <c r="E243">
        <v>4659611</v>
      </c>
      <c r="F243">
        <v>2338410</v>
      </c>
      <c r="G243">
        <v>102</v>
      </c>
      <c r="H243" t="s">
        <v>10</v>
      </c>
      <c r="I243" s="3"/>
    </row>
    <row r="244" spans="1:9">
      <c r="A244">
        <v>1036</v>
      </c>
      <c r="B244" t="s">
        <v>13</v>
      </c>
      <c r="C244" t="s">
        <v>14</v>
      </c>
      <c r="D244" s="1">
        <v>45137</v>
      </c>
      <c r="E244">
        <v>4131670</v>
      </c>
      <c r="F244">
        <v>441839</v>
      </c>
      <c r="G244">
        <v>440</v>
      </c>
      <c r="H244" t="s">
        <v>15</v>
      </c>
      <c r="I244" s="3"/>
    </row>
    <row r="245" spans="1:9">
      <c r="A245">
        <v>1083</v>
      </c>
      <c r="B245" t="s">
        <v>16</v>
      </c>
      <c r="C245" t="s">
        <v>17</v>
      </c>
      <c r="D245" s="1">
        <v>44957</v>
      </c>
      <c r="E245">
        <v>2003974</v>
      </c>
      <c r="F245">
        <v>1860224</v>
      </c>
      <c r="G245">
        <v>303</v>
      </c>
      <c r="H245" t="s">
        <v>18</v>
      </c>
      <c r="I245" s="3"/>
    </row>
    <row r="246" spans="1:9">
      <c r="A246">
        <v>1081</v>
      </c>
      <c r="B246" t="s">
        <v>11</v>
      </c>
      <c r="C246" t="s">
        <v>19</v>
      </c>
      <c r="D246" s="1">
        <v>44957</v>
      </c>
      <c r="E246">
        <v>2372343</v>
      </c>
      <c r="F246">
        <v>476215</v>
      </c>
      <c r="G246">
        <v>171</v>
      </c>
      <c r="H246" t="s">
        <v>15</v>
      </c>
      <c r="I246" s="3"/>
    </row>
    <row r="247" spans="1:9">
      <c r="A247">
        <v>1025</v>
      </c>
      <c r="B247" t="s">
        <v>11</v>
      </c>
      <c r="C247" t="s">
        <v>19</v>
      </c>
      <c r="D247" s="1">
        <v>45197</v>
      </c>
      <c r="E247">
        <v>3892400</v>
      </c>
      <c r="F247">
        <v>3666639</v>
      </c>
      <c r="G247">
        <v>354</v>
      </c>
      <c r="H247" t="s">
        <v>20</v>
      </c>
      <c r="I247" s="3"/>
    </row>
    <row r="248" spans="1:9">
      <c r="A248">
        <v>1010</v>
      </c>
      <c r="B248" t="s">
        <v>8</v>
      </c>
      <c r="C248" t="s">
        <v>14</v>
      </c>
      <c r="D248" s="1">
        <v>45077</v>
      </c>
      <c r="E248">
        <v>2949325</v>
      </c>
      <c r="F248">
        <v>3714836</v>
      </c>
      <c r="G248">
        <v>252</v>
      </c>
      <c r="H248" t="s">
        <v>18</v>
      </c>
      <c r="I248" s="3"/>
    </row>
    <row r="249" spans="1:9">
      <c r="A249">
        <v>1017</v>
      </c>
      <c r="B249" t="s">
        <v>16</v>
      </c>
      <c r="C249" t="s">
        <v>14</v>
      </c>
      <c r="D249" s="1">
        <v>45107</v>
      </c>
      <c r="E249">
        <v>3746226</v>
      </c>
      <c r="F249">
        <v>1845913</v>
      </c>
      <c r="G249">
        <v>349</v>
      </c>
      <c r="H249" t="s">
        <v>15</v>
      </c>
      <c r="I249" s="3"/>
    </row>
    <row r="250" spans="1:9">
      <c r="A250">
        <v>1017</v>
      </c>
      <c r="B250" t="s">
        <v>11</v>
      </c>
      <c r="C250" t="s">
        <v>19</v>
      </c>
      <c r="D250" s="1">
        <v>45167</v>
      </c>
      <c r="E250">
        <v>1705270</v>
      </c>
      <c r="F250">
        <v>2802690</v>
      </c>
      <c r="G250">
        <v>285</v>
      </c>
      <c r="H250" t="s">
        <v>20</v>
      </c>
      <c r="I250" s="3"/>
    </row>
    <row r="251" spans="1:9">
      <c r="A251">
        <v>1074</v>
      </c>
      <c r="B251" t="s">
        <v>21</v>
      </c>
      <c r="C251" t="s">
        <v>9</v>
      </c>
      <c r="D251" s="1">
        <v>44927</v>
      </c>
      <c r="E251">
        <v>3097663</v>
      </c>
      <c r="F251">
        <v>3201761</v>
      </c>
      <c r="G251">
        <v>432</v>
      </c>
      <c r="H251" t="s">
        <v>20</v>
      </c>
      <c r="I251" s="3"/>
    </row>
    <row r="252" spans="1:9">
      <c r="A252">
        <v>1090</v>
      </c>
      <c r="B252" t="s">
        <v>8</v>
      </c>
      <c r="C252" t="s">
        <v>17</v>
      </c>
      <c r="D252" s="1">
        <v>45257</v>
      </c>
      <c r="E252">
        <v>1123919</v>
      </c>
      <c r="F252">
        <v>3659977</v>
      </c>
      <c r="G252">
        <v>11</v>
      </c>
      <c r="H252" t="s">
        <v>18</v>
      </c>
      <c r="I252" s="3"/>
    </row>
    <row r="253" spans="1:9">
      <c r="A253">
        <v>1100</v>
      </c>
      <c r="B253" t="s">
        <v>21</v>
      </c>
      <c r="C253" t="s">
        <v>9</v>
      </c>
      <c r="D253" s="1">
        <v>45197</v>
      </c>
      <c r="E253">
        <v>693858</v>
      </c>
      <c r="F253">
        <v>3013231</v>
      </c>
      <c r="G253">
        <v>122</v>
      </c>
      <c r="H253" t="s">
        <v>15</v>
      </c>
      <c r="I253" s="3"/>
    </row>
    <row r="254" spans="1:9">
      <c r="A254">
        <v>1045</v>
      </c>
      <c r="B254" t="s">
        <v>16</v>
      </c>
      <c r="C254" t="s">
        <v>9</v>
      </c>
      <c r="D254" s="1">
        <v>45197</v>
      </c>
      <c r="E254">
        <v>4023427</v>
      </c>
      <c r="F254">
        <v>3516451</v>
      </c>
      <c r="G254">
        <v>303</v>
      </c>
      <c r="H254" t="s">
        <v>15</v>
      </c>
      <c r="I254" s="3"/>
    </row>
    <row r="255" spans="1:9">
      <c r="A255">
        <v>1019</v>
      </c>
      <c r="B255" t="s">
        <v>8</v>
      </c>
      <c r="C255" t="s">
        <v>17</v>
      </c>
      <c r="D255" s="1">
        <v>44927</v>
      </c>
      <c r="E255">
        <v>3252888</v>
      </c>
      <c r="F255">
        <v>696422</v>
      </c>
      <c r="G255">
        <v>110</v>
      </c>
      <c r="H255" t="s">
        <v>10</v>
      </c>
      <c r="I255" s="3"/>
    </row>
    <row r="256" spans="1:9">
      <c r="A256">
        <v>1073</v>
      </c>
      <c r="B256" t="s">
        <v>21</v>
      </c>
      <c r="C256" t="s">
        <v>12</v>
      </c>
      <c r="D256" s="1">
        <v>45077</v>
      </c>
      <c r="E256">
        <v>1178459</v>
      </c>
      <c r="F256">
        <v>1141091</v>
      </c>
      <c r="G256">
        <v>445</v>
      </c>
      <c r="H256" t="s">
        <v>18</v>
      </c>
      <c r="I256" s="3"/>
    </row>
  </sheetData>
  <autoFilter ref="A1:H2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4BCE-F957-4A85-9B3E-E8E2051647D0}">
  <dimension ref="A1:J256"/>
  <sheetViews>
    <sheetView topLeftCell="A26" workbookViewId="0">
      <selection activeCell="M230" sqref="M230"/>
    </sheetView>
  </sheetViews>
  <sheetFormatPr defaultRowHeight="15"/>
  <cols>
    <col min="1" max="1" width="9" bestFit="1" customWidth="1"/>
    <col min="2" max="2" width="16.140625" bestFit="1" customWidth="1"/>
    <col min="3" max="3" width="13.5703125" bestFit="1" customWidth="1"/>
    <col min="4" max="4" width="10.85546875" bestFit="1" customWidth="1"/>
    <col min="5" max="5" width="13.140625" bestFit="1" customWidth="1"/>
    <col min="6" max="6" width="19.28515625" bestFit="1" customWidth="1"/>
    <col min="7" max="7" width="12.140625" bestFit="1" customWidth="1"/>
    <col min="8" max="8" width="14.42578125" bestFit="1" customWidth="1"/>
    <col min="9" max="9" width="20.42578125" bestFit="1" customWidth="1"/>
    <col min="10" max="10" width="20.57031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23</v>
      </c>
      <c r="J1" s="4" t="s">
        <v>24</v>
      </c>
    </row>
    <row r="2" spans="1:10">
      <c r="A2">
        <v>1083</v>
      </c>
      <c r="B2" t="s">
        <v>8</v>
      </c>
      <c r="C2" t="s">
        <v>9</v>
      </c>
      <c r="D2" s="1">
        <v>45227</v>
      </c>
      <c r="E2">
        <v>4639363</v>
      </c>
      <c r="F2">
        <v>1635977</v>
      </c>
      <c r="G2">
        <v>416</v>
      </c>
      <c r="H2" t="s">
        <v>10</v>
      </c>
      <c r="I2" t="str">
        <f>IF(
  F2="","Missing Cost",
  IF(
    OR(E2&lt;Outlier_Calculations!$E$1,E2&gt;Outlier_Calculations!$F$1),
    "Outlier Capped",
    "Clean"
  )
)</f>
        <v>Clean</v>
      </c>
      <c r="J2" s="3">
        <f>IF(
  E2 &lt; Outlier_Calculations!$E$1,
  Outlier_Calculations!$E$1,
  IF(
    E2 &gt; Outlier_Calculations!$F$1,
    Outlier_Calculations!$F$1,
    E2
  )
)</f>
        <v>4639363</v>
      </c>
    </row>
    <row r="3" spans="1:10">
      <c r="A3">
        <v>1018</v>
      </c>
      <c r="B3" t="s">
        <v>11</v>
      </c>
      <c r="C3" t="s">
        <v>12</v>
      </c>
      <c r="D3" s="1">
        <v>45167</v>
      </c>
      <c r="E3">
        <v>4659611</v>
      </c>
      <c r="F3">
        <v>2338410</v>
      </c>
      <c r="G3">
        <v>102</v>
      </c>
      <c r="H3" t="s">
        <v>10</v>
      </c>
      <c r="I3" t="str">
        <f>IF(
  F3="","Missing Cost",
  IF(
    OR(E3&lt;Outlier_Calculations!$E$1,E3&gt;Outlier_Calculations!$F$1),
    "Outlier Capped",
    "Clean"
  )
)</f>
        <v>Clean</v>
      </c>
      <c r="J3" s="3">
        <f>IF(
  E3 &lt; Outlier_Calculations!$E$1,
  Outlier_Calculations!$E$1,
  IF(
    E3 &gt; Outlier_Calculations!$F$1,
    Outlier_Calculations!$F$1,
    E3
  )
)</f>
        <v>4659611</v>
      </c>
    </row>
    <row r="4" spans="1:10">
      <c r="A4">
        <v>1036</v>
      </c>
      <c r="B4" t="s">
        <v>13</v>
      </c>
      <c r="C4" t="s">
        <v>14</v>
      </c>
      <c r="D4" s="1">
        <v>45137</v>
      </c>
      <c r="E4">
        <v>4131670</v>
      </c>
      <c r="F4">
        <v>441839</v>
      </c>
      <c r="G4">
        <v>440</v>
      </c>
      <c r="H4" t="s">
        <v>15</v>
      </c>
      <c r="I4" t="str">
        <f>IF(
  F4="","Missing Cost",
  IF(
    OR(E4&lt;Outlier_Calculations!$E$1,E4&gt;Outlier_Calculations!$F$1),
    "Outlier Capped",
    "Clean"
  )
)</f>
        <v>Clean</v>
      </c>
      <c r="J4" s="3">
        <f>IF(
  E4 &lt; Outlier_Calculations!$E$1,
  Outlier_Calculations!$E$1,
  IF(
    E4 &gt; Outlier_Calculations!$F$1,
    Outlier_Calculations!$F$1,
    E4
  )
)</f>
        <v>4131670</v>
      </c>
    </row>
    <row r="5" spans="1:10">
      <c r="A5">
        <v>1083</v>
      </c>
      <c r="B5" t="s">
        <v>16</v>
      </c>
      <c r="C5" t="s">
        <v>17</v>
      </c>
      <c r="D5" s="1">
        <v>44957</v>
      </c>
      <c r="E5">
        <v>2003974</v>
      </c>
      <c r="F5">
        <v>1860224</v>
      </c>
      <c r="G5">
        <v>303</v>
      </c>
      <c r="H5" t="s">
        <v>18</v>
      </c>
      <c r="I5" t="str">
        <f>IF(
  F5="","Missing Cost",
  IF(
    OR(E5&lt;Outlier_Calculations!$E$1,E5&gt;Outlier_Calculations!$F$1),
    "Outlier Capped",
    "Clean"
  )
)</f>
        <v>Clean</v>
      </c>
      <c r="J5" s="3">
        <f>IF(
  E5 &lt; Outlier_Calculations!$E$1,
  Outlier_Calculations!$E$1,
  IF(
    E5 &gt; Outlier_Calculations!$F$1,
    Outlier_Calculations!$F$1,
    E5
  )
)</f>
        <v>2003974</v>
      </c>
    </row>
    <row r="6" spans="1:10">
      <c r="A6">
        <v>1081</v>
      </c>
      <c r="B6" t="s">
        <v>11</v>
      </c>
      <c r="C6" t="s">
        <v>19</v>
      </c>
      <c r="D6" s="1">
        <v>44957</v>
      </c>
      <c r="E6">
        <v>2372343</v>
      </c>
      <c r="F6">
        <v>476215</v>
      </c>
      <c r="G6">
        <v>171</v>
      </c>
      <c r="H6" t="s">
        <v>15</v>
      </c>
      <c r="I6" t="str">
        <f>IF(
  F6="","Missing Cost",
  IF(
    OR(E6&lt;Outlier_Calculations!$E$1,E6&gt;Outlier_Calculations!$F$1),
    "Outlier Capped",
    "Clean"
  )
)</f>
        <v>Clean</v>
      </c>
      <c r="J6" s="3">
        <f>IF(
  E6 &lt; Outlier_Calculations!$E$1,
  Outlier_Calculations!$E$1,
  IF(
    E6 &gt; Outlier_Calculations!$F$1,
    Outlier_Calculations!$F$1,
    E6
  )
)</f>
        <v>2372343</v>
      </c>
    </row>
    <row r="7" spans="1:10">
      <c r="A7">
        <v>1025</v>
      </c>
      <c r="B7" t="s">
        <v>11</v>
      </c>
      <c r="C7" t="s">
        <v>19</v>
      </c>
      <c r="D7" s="1">
        <v>45197</v>
      </c>
      <c r="E7">
        <v>3892400</v>
      </c>
      <c r="F7">
        <v>3666639</v>
      </c>
      <c r="G7">
        <v>354</v>
      </c>
      <c r="H7" t="s">
        <v>20</v>
      </c>
      <c r="I7" t="str">
        <f>IF(
  F7="","Missing Cost",
  IF(
    OR(E7&lt;Outlier_Calculations!$E$1,E7&gt;Outlier_Calculations!$F$1),
    "Outlier Capped",
    "Clean"
  )
)</f>
        <v>Clean</v>
      </c>
      <c r="J7" s="3">
        <f>IF(
  E7 &lt; Outlier_Calculations!$E$1,
  Outlier_Calculations!$E$1,
  IF(
    E7 &gt; Outlier_Calculations!$F$1,
    Outlier_Calculations!$F$1,
    E7
  )
)</f>
        <v>3892400</v>
      </c>
    </row>
    <row r="8" spans="1:10">
      <c r="A8" s="8">
        <v>1010</v>
      </c>
      <c r="B8" t="s">
        <v>8</v>
      </c>
      <c r="C8" t="s">
        <v>14</v>
      </c>
      <c r="D8" s="7">
        <v>45077</v>
      </c>
      <c r="E8">
        <v>2949325</v>
      </c>
      <c r="F8">
        <v>3714836</v>
      </c>
      <c r="G8">
        <v>252</v>
      </c>
      <c r="H8" t="s">
        <v>18</v>
      </c>
      <c r="I8" t="str">
        <f>IF(
  F8="","Missing Cost",
  IF(
    OR(E8&lt;Outlier_Calculations!$E$1,E8&gt;Outlier_Calculations!$F$1),
    "Outlier Capped",
    "Clean"
  )
)</f>
        <v>Clean</v>
      </c>
      <c r="J8" s="3">
        <f>IF(
  E8 &lt; Outlier_Calculations!$E$1,
  Outlier_Calculations!$E$1,
  IF(
    E8 &gt; Outlier_Calculations!$F$1,
    Outlier_Calculations!$F$1,
    E8
  )
)</f>
        <v>2949325</v>
      </c>
    </row>
    <row r="9" spans="1:10">
      <c r="A9">
        <v>1017</v>
      </c>
      <c r="B9" t="s">
        <v>16</v>
      </c>
      <c r="C9" t="s">
        <v>14</v>
      </c>
      <c r="D9" s="1">
        <v>45107</v>
      </c>
      <c r="E9">
        <v>3746226</v>
      </c>
      <c r="F9">
        <v>1845913</v>
      </c>
      <c r="G9">
        <v>349</v>
      </c>
      <c r="H9" t="s">
        <v>15</v>
      </c>
      <c r="I9" t="str">
        <f>IF(
  F9="","Missing Cost",
  IF(
    OR(E9&lt;Outlier_Calculations!$E$1,E9&gt;Outlier_Calculations!$F$1),
    "Outlier Capped",
    "Clean"
  )
)</f>
        <v>Clean</v>
      </c>
      <c r="J9" s="3">
        <f>IF(
  E9 &lt; Outlier_Calculations!$E$1,
  Outlier_Calculations!$E$1,
  IF(
    E9 &gt; Outlier_Calculations!$F$1,
    Outlier_Calculations!$F$1,
    E9
  )
)</f>
        <v>3746226</v>
      </c>
    </row>
    <row r="10" spans="1:10">
      <c r="A10">
        <v>1017</v>
      </c>
      <c r="B10" t="s">
        <v>11</v>
      </c>
      <c r="C10" t="s">
        <v>19</v>
      </c>
      <c r="D10" s="1">
        <v>45167</v>
      </c>
      <c r="E10">
        <v>1705270</v>
      </c>
      <c r="F10">
        <v>2802690</v>
      </c>
      <c r="G10">
        <v>285</v>
      </c>
      <c r="H10" t="s">
        <v>20</v>
      </c>
      <c r="I10" t="str">
        <f>IF(
  F10="","Missing Cost",
  IF(
    OR(E10&lt;Outlier_Calculations!$E$1,E10&gt;Outlier_Calculations!$F$1),
    "Outlier Capped",
    "Clean"
  )
)</f>
        <v>Clean</v>
      </c>
      <c r="J10" s="3">
        <f>IF(
  E10 &lt; Outlier_Calculations!$E$1,
  Outlier_Calculations!$E$1,
  IF(
    E10 &gt; Outlier_Calculations!$F$1,
    Outlier_Calculations!$F$1,
    E10
  )
)</f>
        <v>1705270</v>
      </c>
    </row>
    <row r="11" spans="1:10">
      <c r="A11">
        <v>1074</v>
      </c>
      <c r="B11" t="s">
        <v>21</v>
      </c>
      <c r="C11" t="s">
        <v>9</v>
      </c>
      <c r="D11" s="1">
        <v>44927</v>
      </c>
      <c r="E11">
        <v>3097663</v>
      </c>
      <c r="F11">
        <v>3201761</v>
      </c>
      <c r="G11">
        <v>432</v>
      </c>
      <c r="H11" t="s">
        <v>20</v>
      </c>
      <c r="I11" t="str">
        <f>IF(
  F11="","Missing Cost",
  IF(
    OR(E11&lt;Outlier_Calculations!$E$1,E11&gt;Outlier_Calculations!$F$1),
    "Outlier Capped",
    "Clean"
  )
)</f>
        <v>Clean</v>
      </c>
      <c r="J11" s="3">
        <f>IF(
  E11 &lt; Outlier_Calculations!$E$1,
  Outlier_Calculations!$E$1,
  IF(
    E11 &gt; Outlier_Calculations!$F$1,
    Outlier_Calculations!$F$1,
    E11
  )
)</f>
        <v>3097663</v>
      </c>
    </row>
    <row r="12" spans="1:10">
      <c r="A12">
        <v>1090</v>
      </c>
      <c r="B12" t="s">
        <v>8</v>
      </c>
      <c r="C12" t="s">
        <v>17</v>
      </c>
      <c r="D12" s="1">
        <v>45257</v>
      </c>
      <c r="E12">
        <v>1123919</v>
      </c>
      <c r="F12">
        <v>3659977</v>
      </c>
      <c r="G12">
        <v>11</v>
      </c>
      <c r="H12" t="s">
        <v>18</v>
      </c>
      <c r="I12" t="str">
        <f>IF(
  F12="","Missing Cost",
  IF(
    OR(E12&lt;Outlier_Calculations!$E$1,E12&gt;Outlier_Calculations!$F$1),
    "Outlier Capped",
    "Clean"
  )
)</f>
        <v>Clean</v>
      </c>
      <c r="J12" s="3">
        <f>IF(
  E12 &lt; Outlier_Calculations!$E$1,
  Outlier_Calculations!$E$1,
  IF(
    E12 &gt; Outlier_Calculations!$F$1,
    Outlier_Calculations!$F$1,
    E12
  )
)</f>
        <v>1123919</v>
      </c>
    </row>
    <row r="13" spans="1:10">
      <c r="A13">
        <v>1100</v>
      </c>
      <c r="B13" t="s">
        <v>21</v>
      </c>
      <c r="C13" t="s">
        <v>9</v>
      </c>
      <c r="D13" s="1">
        <v>45197</v>
      </c>
      <c r="E13">
        <v>693858</v>
      </c>
      <c r="F13">
        <v>3013231</v>
      </c>
      <c r="G13">
        <v>122</v>
      </c>
      <c r="H13" t="s">
        <v>15</v>
      </c>
      <c r="I13" t="str">
        <f>IF(
  F13="","Missing Cost",
  IF(
    OR(E13&lt;Outlier_Calculations!$E$1,E13&gt;Outlier_Calculations!$F$1),
    "Outlier Capped",
    "Clean"
  )
)</f>
        <v>Clean</v>
      </c>
      <c r="J13" s="3">
        <f>IF(
  E13 &lt; Outlier_Calculations!$E$1,
  Outlier_Calculations!$E$1,
  IF(
    E13 &gt; Outlier_Calculations!$F$1,
    Outlier_Calculations!$F$1,
    E13
  )
)</f>
        <v>693858</v>
      </c>
    </row>
    <row r="14" spans="1:10">
      <c r="A14">
        <v>1045</v>
      </c>
      <c r="B14" t="s">
        <v>16</v>
      </c>
      <c r="C14" t="s">
        <v>9</v>
      </c>
      <c r="D14" s="1">
        <v>45197</v>
      </c>
      <c r="E14">
        <v>4023427</v>
      </c>
      <c r="F14">
        <v>3516451</v>
      </c>
      <c r="G14">
        <v>303</v>
      </c>
      <c r="H14" t="s">
        <v>15</v>
      </c>
      <c r="I14" t="str">
        <f>IF(
  F14="","Missing Cost",
  IF(
    OR(E14&lt;Outlier_Calculations!$E$1,E14&gt;Outlier_Calculations!$F$1),
    "Outlier Capped",
    "Clean"
  )
)</f>
        <v>Clean</v>
      </c>
      <c r="J14" s="3">
        <f>IF(
  E14 &lt; Outlier_Calculations!$E$1,
  Outlier_Calculations!$E$1,
  IF(
    E14 &gt; Outlier_Calculations!$F$1,
    Outlier_Calculations!$F$1,
    E14
  )
)</f>
        <v>4023427</v>
      </c>
    </row>
    <row r="15" spans="1:10">
      <c r="A15">
        <v>1019</v>
      </c>
      <c r="B15" t="s">
        <v>8</v>
      </c>
      <c r="C15" t="s">
        <v>17</v>
      </c>
      <c r="D15" s="1">
        <v>44927</v>
      </c>
      <c r="E15">
        <v>3252888</v>
      </c>
      <c r="F15">
        <v>696422</v>
      </c>
      <c r="G15">
        <v>110</v>
      </c>
      <c r="H15" t="s">
        <v>10</v>
      </c>
      <c r="I15" t="str">
        <f>IF(
  F15="","Missing Cost",
  IF(
    OR(E15&lt;Outlier_Calculations!$E$1,E15&gt;Outlier_Calculations!$F$1),
    "Outlier Capped",
    "Clean"
  )
)</f>
        <v>Clean</v>
      </c>
      <c r="J15" s="3">
        <f>IF(
  E15 &lt; Outlier_Calculations!$E$1,
  Outlier_Calculations!$E$1,
  IF(
    E15 &gt; Outlier_Calculations!$F$1,
    Outlier_Calculations!$F$1,
    E15
  )
)</f>
        <v>3252888</v>
      </c>
    </row>
    <row r="16" spans="1:10">
      <c r="A16">
        <v>1073</v>
      </c>
      <c r="B16" t="s">
        <v>21</v>
      </c>
      <c r="C16" t="s">
        <v>12</v>
      </c>
      <c r="D16" s="1">
        <v>45077</v>
      </c>
      <c r="E16">
        <v>1178459</v>
      </c>
      <c r="F16">
        <v>1141091</v>
      </c>
      <c r="G16">
        <v>445</v>
      </c>
      <c r="H16" t="s">
        <v>18</v>
      </c>
      <c r="I16" t="str">
        <f>IF(
  F16="","Missing Cost",
  IF(
    OR(E16&lt;Outlier_Calculations!$E$1,E16&gt;Outlier_Calculations!$F$1),
    "Outlier Capped",
    "Clean"
  )
)</f>
        <v>Clean</v>
      </c>
      <c r="J16" s="3">
        <f>IF(
  E16 &lt; Outlier_Calculations!$E$1,
  Outlier_Calculations!$E$1,
  IF(
    E16 &gt; Outlier_Calculations!$F$1,
    Outlier_Calculations!$F$1,
    E16
  )
)</f>
        <v>1178459</v>
      </c>
    </row>
    <row r="17" spans="1:10">
      <c r="A17">
        <v>1017</v>
      </c>
      <c r="B17" t="s">
        <v>13</v>
      </c>
      <c r="C17" t="s">
        <v>9</v>
      </c>
      <c r="D17" s="1">
        <v>45167</v>
      </c>
      <c r="E17">
        <v>1607913</v>
      </c>
      <c r="F17">
        <v>2430792</v>
      </c>
      <c r="G17">
        <v>311</v>
      </c>
      <c r="H17" t="s">
        <v>18</v>
      </c>
      <c r="I17" t="str">
        <f>IF(
  F17="","Missing Cost",
  IF(
    OR(E17&lt;Outlier_Calculations!$E$1,E17&gt;Outlier_Calculations!$F$1),
    "Outlier Capped",
    "Clean"
  )
)</f>
        <v>Clean</v>
      </c>
      <c r="J17" s="3">
        <f>IF(
  E17 &lt; Outlier_Calculations!$E$1,
  Outlier_Calculations!$E$1,
  IF(
    E17 &gt; Outlier_Calculations!$F$1,
    Outlier_Calculations!$F$1,
    E17
  )
)</f>
        <v>1607913</v>
      </c>
    </row>
    <row r="18" spans="1:10">
      <c r="A18">
        <v>1098</v>
      </c>
      <c r="B18" t="s">
        <v>11</v>
      </c>
      <c r="C18" t="s">
        <v>9</v>
      </c>
      <c r="D18" s="1">
        <v>44987</v>
      </c>
      <c r="E18">
        <v>4322908</v>
      </c>
      <c r="F18">
        <v>2767619</v>
      </c>
      <c r="G18">
        <v>242</v>
      </c>
      <c r="H18" t="s">
        <v>10</v>
      </c>
      <c r="I18" t="str">
        <f>IF(
  F18="","Missing Cost",
  IF(
    OR(E18&lt;Outlier_Calculations!$E$1,E18&gt;Outlier_Calculations!$F$1),
    "Outlier Capped",
    "Clean"
  )
)</f>
        <v>Clean</v>
      </c>
      <c r="J18" s="3">
        <f>IF(
  E18 &lt; Outlier_Calculations!$E$1,
  Outlier_Calculations!$E$1,
  IF(
    E18 &gt; Outlier_Calculations!$F$1,
    Outlier_Calculations!$F$1,
    E18
  )
)</f>
        <v>4322908</v>
      </c>
    </row>
    <row r="19" spans="1:10">
      <c r="A19">
        <v>1068</v>
      </c>
      <c r="B19" t="s">
        <v>16</v>
      </c>
      <c r="C19" t="s">
        <v>12</v>
      </c>
      <c r="D19" s="1">
        <v>45077</v>
      </c>
      <c r="E19">
        <v>2771686</v>
      </c>
      <c r="F19">
        <v>517378</v>
      </c>
      <c r="G19">
        <v>480</v>
      </c>
      <c r="H19" t="s">
        <v>10</v>
      </c>
      <c r="I19" t="str">
        <f>IF(
  F19="","Missing Cost",
  IF(
    OR(E19&lt;Outlier_Calculations!$E$1,E19&gt;Outlier_Calculations!$F$1),
    "Outlier Capped",
    "Clean"
  )
)</f>
        <v>Clean</v>
      </c>
      <c r="J19" s="3">
        <f>IF(
  E19 &lt; Outlier_Calculations!$E$1,
  Outlier_Calculations!$E$1,
  IF(
    E19 &gt; Outlier_Calculations!$F$1,
    Outlier_Calculations!$F$1,
    E19
  )
)</f>
        <v>2771686</v>
      </c>
    </row>
    <row r="20" spans="1:10">
      <c r="A20">
        <v>1087</v>
      </c>
      <c r="B20" t="s">
        <v>21</v>
      </c>
      <c r="C20" t="s">
        <v>14</v>
      </c>
      <c r="D20" s="1">
        <v>45197</v>
      </c>
      <c r="E20">
        <v>342549</v>
      </c>
      <c r="F20">
        <v>2569056</v>
      </c>
      <c r="G20">
        <v>221</v>
      </c>
      <c r="H20" t="s">
        <v>20</v>
      </c>
      <c r="I20" t="str">
        <f>IF(
  F20="","Missing Cost",
  IF(
    OR(E20&lt;Outlier_Calculations!$E$1,E20&gt;Outlier_Calculations!$F$1),
    "Outlier Capped",
    "Clean"
  )
)</f>
        <v>Clean</v>
      </c>
      <c r="J20" s="3">
        <f>IF(
  E20 &lt; Outlier_Calculations!$E$1,
  Outlier_Calculations!$E$1,
  IF(
    E20 &gt; Outlier_Calculations!$F$1,
    Outlier_Calculations!$F$1,
    E20
  )
)</f>
        <v>342549</v>
      </c>
    </row>
    <row r="21" spans="1:10">
      <c r="A21">
        <v>1001</v>
      </c>
      <c r="B21" t="s">
        <v>11</v>
      </c>
      <c r="C21" t="s">
        <v>17</v>
      </c>
      <c r="D21" s="1">
        <v>44957</v>
      </c>
      <c r="E21">
        <v>2803387</v>
      </c>
      <c r="F21">
        <v>1134328</v>
      </c>
      <c r="G21">
        <v>43</v>
      </c>
      <c r="H21" t="s">
        <v>10</v>
      </c>
      <c r="I21" t="str">
        <f>IF(
  F21="","Missing Cost",
  IF(
    OR(E21&lt;Outlier_Calculations!$E$1,E21&gt;Outlier_Calculations!$F$1),
    "Outlier Capped",
    "Clean"
  )
)</f>
        <v>Clean</v>
      </c>
      <c r="J21" s="3">
        <f>IF(
  E21 &lt; Outlier_Calculations!$E$1,
  Outlier_Calculations!$E$1,
  IF(
    E21 &gt; Outlier_Calculations!$F$1,
    Outlier_Calculations!$F$1,
    E21
  )
)</f>
        <v>2803387</v>
      </c>
    </row>
    <row r="22" spans="1:10">
      <c r="A22">
        <v>1000</v>
      </c>
      <c r="B22" t="s">
        <v>13</v>
      </c>
      <c r="C22" t="s">
        <v>14</v>
      </c>
      <c r="D22" s="1">
        <v>45167</v>
      </c>
      <c r="E22">
        <v>473390</v>
      </c>
      <c r="F22">
        <v>1692324</v>
      </c>
      <c r="G22">
        <v>474</v>
      </c>
      <c r="H22" t="s">
        <v>20</v>
      </c>
      <c r="I22" t="str">
        <f>IF(
  F22="","Missing Cost",
  IF(
    OR(E22&lt;Outlier_Calculations!$E$1,E22&gt;Outlier_Calculations!$F$1),
    "Outlier Capped",
    "Clean"
  )
)</f>
        <v>Clean</v>
      </c>
      <c r="J22" s="3">
        <f>IF(
  E22 &lt; Outlier_Calculations!$E$1,
  Outlier_Calculations!$E$1,
  IF(
    E22 &gt; Outlier_Calculations!$F$1,
    Outlier_Calculations!$F$1,
    E22
  )
)</f>
        <v>473390</v>
      </c>
    </row>
    <row r="23" spans="1:10">
      <c r="A23">
        <v>1071</v>
      </c>
      <c r="B23" t="s">
        <v>21</v>
      </c>
      <c r="C23" t="s">
        <v>9</v>
      </c>
      <c r="D23" s="1">
        <v>44987</v>
      </c>
      <c r="E23">
        <v>4898368</v>
      </c>
      <c r="F23">
        <v>3380191</v>
      </c>
      <c r="G23">
        <v>461</v>
      </c>
      <c r="H23" t="s">
        <v>20</v>
      </c>
      <c r="I23" t="str">
        <f>IF(
  F23="","Missing Cost",
  IF(
    OR(E23&lt;Outlier_Calculations!$E$1,E23&gt;Outlier_Calculations!$F$1),
    "Outlier Capped",
    "Clean"
  )
)</f>
        <v>Clean</v>
      </c>
      <c r="J23" s="3">
        <f>IF(
  E23 &lt; Outlier_Calculations!$E$1,
  Outlier_Calculations!$E$1,
  IF(
    E23 &gt; Outlier_Calculations!$F$1,
    Outlier_Calculations!$F$1,
    E23
  )
)</f>
        <v>4898368</v>
      </c>
    </row>
    <row r="24" spans="1:10">
      <c r="A24">
        <v>1027</v>
      </c>
      <c r="B24" t="s">
        <v>8</v>
      </c>
      <c r="C24" t="s">
        <v>14</v>
      </c>
      <c r="D24" s="1">
        <v>45197</v>
      </c>
      <c r="E24">
        <v>2898366</v>
      </c>
      <c r="F24">
        <v>3450001</v>
      </c>
      <c r="G24">
        <v>17</v>
      </c>
      <c r="H24" t="s">
        <v>10</v>
      </c>
      <c r="I24" t="str">
        <f>IF(
  F24="","Missing Cost",
  IF(
    OR(E24&lt;Outlier_Calculations!$E$1,E24&gt;Outlier_Calculations!$F$1),
    "Outlier Capped",
    "Clean"
  )
)</f>
        <v>Clean</v>
      </c>
      <c r="J24" s="3">
        <f>IF(
  E24 &lt; Outlier_Calculations!$E$1,
  Outlier_Calculations!$E$1,
  IF(
    E24 &gt; Outlier_Calculations!$F$1,
    Outlier_Calculations!$F$1,
    E24
  )
)</f>
        <v>2898366</v>
      </c>
    </row>
    <row r="25" spans="1:10">
      <c r="A25" s="8">
        <v>1010</v>
      </c>
      <c r="B25" t="s">
        <v>8</v>
      </c>
      <c r="C25" t="s">
        <v>9</v>
      </c>
      <c r="D25" s="7">
        <v>45077</v>
      </c>
      <c r="E25">
        <v>4027137</v>
      </c>
      <c r="F25">
        <v>2184787</v>
      </c>
      <c r="G25">
        <v>406</v>
      </c>
      <c r="H25" t="s">
        <v>10</v>
      </c>
      <c r="I25" t="str">
        <f>IF(
  F25="","Missing Cost",
  IF(
    OR(E25&lt;Outlier_Calculations!$E$1,E25&gt;Outlier_Calculations!$F$1),
    "Outlier Capped",
    "Clean"
  )
)</f>
        <v>Clean</v>
      </c>
      <c r="J25" s="3">
        <f>IF(
  E25 &lt; Outlier_Calculations!$E$1,
  Outlier_Calculations!$E$1,
  IF(
    E25 &gt; Outlier_Calculations!$F$1,
    Outlier_Calculations!$F$1,
    E25
  )
)</f>
        <v>4027137</v>
      </c>
    </row>
    <row r="26" spans="1:10">
      <c r="A26">
        <v>1054</v>
      </c>
      <c r="B26" t="s">
        <v>11</v>
      </c>
      <c r="C26" t="s">
        <v>22</v>
      </c>
      <c r="D26" s="1">
        <v>45167</v>
      </c>
      <c r="E26">
        <v>3869788</v>
      </c>
      <c r="F26">
        <v>208069</v>
      </c>
      <c r="G26">
        <v>206</v>
      </c>
      <c r="H26" t="s">
        <v>20</v>
      </c>
      <c r="I26" t="str">
        <f>IF(
  F26="","Missing Cost",
  IF(
    OR(E26&lt;Outlier_Calculations!$E$1,E26&gt;Outlier_Calculations!$F$1),
    "Outlier Capped",
    "Clean"
  )
)</f>
        <v>Clean</v>
      </c>
      <c r="J26" s="3">
        <f>IF(
  E26 &lt; Outlier_Calculations!$E$1,
  Outlier_Calculations!$E$1,
  IF(
    E26 &gt; Outlier_Calculations!$F$1,
    Outlier_Calculations!$F$1,
    E26
  )
)</f>
        <v>3869788</v>
      </c>
    </row>
    <row r="27" spans="1:10">
      <c r="A27">
        <v>1004</v>
      </c>
      <c r="B27" t="s">
        <v>8</v>
      </c>
      <c r="C27" t="s">
        <v>14</v>
      </c>
      <c r="D27" s="1">
        <v>45137</v>
      </c>
      <c r="E27">
        <v>2487481</v>
      </c>
      <c r="F27">
        <v>995892</v>
      </c>
      <c r="G27">
        <v>240</v>
      </c>
      <c r="H27" t="s">
        <v>18</v>
      </c>
      <c r="I27" t="str">
        <f>IF(
  F27="","Missing Cost",
  IF(
    OR(E27&lt;Outlier_Calculations!$E$1,E27&gt;Outlier_Calculations!$F$1),
    "Outlier Capped",
    "Clean"
  )
)</f>
        <v>Clean</v>
      </c>
      <c r="J27" s="3">
        <f>IF(
  E27 &lt; Outlier_Calculations!$E$1,
  Outlier_Calculations!$E$1,
  IF(
    E27 &gt; Outlier_Calculations!$F$1,
    Outlier_Calculations!$F$1,
    E27
  )
)</f>
        <v>2487481</v>
      </c>
    </row>
    <row r="28" spans="1:10">
      <c r="A28">
        <v>1064</v>
      </c>
      <c r="B28" t="s">
        <v>16</v>
      </c>
      <c r="C28" t="s">
        <v>17</v>
      </c>
      <c r="D28" s="1">
        <v>45227</v>
      </c>
      <c r="E28">
        <v>2260935</v>
      </c>
      <c r="F28">
        <v>3491578</v>
      </c>
      <c r="G28">
        <v>357</v>
      </c>
      <c r="H28" t="s">
        <v>20</v>
      </c>
      <c r="I28" t="str">
        <f>IF(
  F28="","Missing Cost",
  IF(
    OR(E28&lt;Outlier_Calculations!$E$1,E28&gt;Outlier_Calculations!$F$1),
    "Outlier Capped",
    "Clean"
  )
)</f>
        <v>Clean</v>
      </c>
      <c r="J28" s="3">
        <f>IF(
  E28 &lt; Outlier_Calculations!$E$1,
  Outlier_Calculations!$E$1,
  IF(
    E28 &gt; Outlier_Calculations!$F$1,
    Outlier_Calculations!$F$1,
    E28
  )
)</f>
        <v>2260935</v>
      </c>
    </row>
    <row r="29" spans="1:10">
      <c r="A29">
        <v>1062</v>
      </c>
      <c r="B29" t="s">
        <v>11</v>
      </c>
      <c r="C29" t="s">
        <v>9</v>
      </c>
      <c r="D29" s="1">
        <v>45047</v>
      </c>
      <c r="E29">
        <v>238388</v>
      </c>
      <c r="F29">
        <v>108337</v>
      </c>
      <c r="G29">
        <v>257</v>
      </c>
      <c r="H29" t="s">
        <v>20</v>
      </c>
      <c r="I29" t="str">
        <f>IF(
  F29="","Missing Cost",
  IF(
    OR(E29&lt;Outlier_Calculations!$E$1,E29&gt;Outlier_Calculations!$F$1),
    "Outlier Capped",
    "Clean"
  )
)</f>
        <v>Clean</v>
      </c>
      <c r="J29" s="3">
        <f>IF(
  E29 &lt; Outlier_Calculations!$E$1,
  Outlier_Calculations!$E$1,
  IF(
    E29 &gt; Outlier_Calculations!$F$1,
    Outlier_Calculations!$F$1,
    E29
  )
)</f>
        <v>238388</v>
      </c>
    </row>
    <row r="30" spans="1:10">
      <c r="A30">
        <v>1009</v>
      </c>
      <c r="B30" t="s">
        <v>8</v>
      </c>
      <c r="C30" t="s">
        <v>9</v>
      </c>
      <c r="D30" s="1">
        <v>45077</v>
      </c>
      <c r="E30">
        <v>2426489</v>
      </c>
      <c r="F30">
        <v>1218472</v>
      </c>
      <c r="G30">
        <v>292</v>
      </c>
      <c r="H30" t="s">
        <v>18</v>
      </c>
      <c r="I30" t="str">
        <f>IF(
  F30="","Missing Cost",
  IF(
    OR(E30&lt;Outlier_Calculations!$E$1,E30&gt;Outlier_Calculations!$F$1),
    "Outlier Capped",
    "Clean"
  )
)</f>
        <v>Clean</v>
      </c>
      <c r="J30" s="3">
        <f>IF(
  E30 &lt; Outlier_Calculations!$E$1,
  Outlier_Calculations!$E$1,
  IF(
    E30 &gt; Outlier_Calculations!$F$1,
    Outlier_Calculations!$F$1,
    E30
  )
)</f>
        <v>2426489</v>
      </c>
    </row>
    <row r="31" spans="1:10">
      <c r="A31">
        <v>1100</v>
      </c>
      <c r="B31" t="s">
        <v>8</v>
      </c>
      <c r="C31" t="s">
        <v>14</v>
      </c>
      <c r="D31" s="1">
        <v>44957</v>
      </c>
      <c r="E31">
        <v>3530338</v>
      </c>
      <c r="F31">
        <v>3624978</v>
      </c>
      <c r="G31">
        <v>358</v>
      </c>
      <c r="H31" t="s">
        <v>18</v>
      </c>
      <c r="I31" t="str">
        <f>IF(
  F31="","Missing Cost",
  IF(
    OR(E31&lt;Outlier_Calculations!$E$1,E31&gt;Outlier_Calculations!$F$1),
    "Outlier Capped",
    "Clean"
  )
)</f>
        <v>Clean</v>
      </c>
      <c r="J31" s="3">
        <f>IF(
  E31 &lt; Outlier_Calculations!$E$1,
  Outlier_Calculations!$E$1,
  IF(
    E31 &gt; Outlier_Calculations!$F$1,
    Outlier_Calculations!$F$1,
    E31
  )
)</f>
        <v>3530338</v>
      </c>
    </row>
    <row r="32" spans="1:10">
      <c r="A32">
        <v>1055</v>
      </c>
      <c r="B32" t="s">
        <v>8</v>
      </c>
      <c r="C32" t="s">
        <v>19</v>
      </c>
      <c r="D32" s="1">
        <v>45077</v>
      </c>
      <c r="E32">
        <v>4773967</v>
      </c>
      <c r="F32">
        <v>1298004</v>
      </c>
      <c r="G32">
        <v>420</v>
      </c>
      <c r="H32" t="s">
        <v>10</v>
      </c>
      <c r="I32" t="str">
        <f>IF(
  F32="","Missing Cost",
  IF(
    OR(E32&lt;Outlier_Calculations!$E$1,E32&gt;Outlier_Calculations!$F$1),
    "Outlier Capped",
    "Clean"
  )
)</f>
        <v>Clean</v>
      </c>
      <c r="J32" s="3">
        <f>IF(
  E32 &lt; Outlier_Calculations!$E$1,
  Outlier_Calculations!$E$1,
  IF(
    E32 &gt; Outlier_Calculations!$F$1,
    Outlier_Calculations!$F$1,
    E32
  )
)</f>
        <v>4773967</v>
      </c>
    </row>
    <row r="33" spans="1:10">
      <c r="A33">
        <v>1002</v>
      </c>
      <c r="B33" t="s">
        <v>13</v>
      </c>
      <c r="C33" t="s">
        <v>9</v>
      </c>
      <c r="D33" s="1">
        <v>45077</v>
      </c>
      <c r="E33">
        <v>108728</v>
      </c>
      <c r="F33">
        <v>3469585</v>
      </c>
      <c r="G33">
        <v>234</v>
      </c>
      <c r="H33" t="s">
        <v>15</v>
      </c>
      <c r="I33" t="str">
        <f>IF(
  F33="","Missing Cost",
  IF(
    OR(E33&lt;Outlier_Calculations!$E$1,E33&gt;Outlier_Calculations!$F$1),
    "Outlier Capped",
    "Clean"
  )
)</f>
        <v>Clean</v>
      </c>
      <c r="J33" s="3">
        <f>IF(
  E33 &lt; Outlier_Calculations!$E$1,
  Outlier_Calculations!$E$1,
  IF(
    E33 &gt; Outlier_Calculations!$F$1,
    Outlier_Calculations!$F$1,
    E33
  )
)</f>
        <v>108728</v>
      </c>
    </row>
    <row r="34" spans="1:10">
      <c r="A34">
        <v>1061</v>
      </c>
      <c r="B34" t="s">
        <v>16</v>
      </c>
      <c r="C34" t="s">
        <v>12</v>
      </c>
      <c r="D34" s="1">
        <v>45077</v>
      </c>
      <c r="E34">
        <v>-2549824</v>
      </c>
      <c r="F34">
        <v>2229732</v>
      </c>
      <c r="G34">
        <v>52</v>
      </c>
      <c r="H34" t="s">
        <v>18</v>
      </c>
      <c r="I34" t="str">
        <f>IF(
  F34="","Missing Cost",
  IF(
    OR(E34&lt;Outlier_Calculations!$E$1,E34&gt;Outlier_Calculations!$F$1),
    "Outlier Capped",
    "Clean"
  )
)</f>
        <v>Outlier Capped</v>
      </c>
      <c r="J34" s="3">
        <f>IF(
  E34 &lt; Outlier_Calculations!$E$1,
  Outlier_Calculations!$E$1,
  IF(
    E34 &gt; Outlier_Calculations!$F$1,
    Outlier_Calculations!$F$1,
    E34
  )
)</f>
        <v>-1939863.625</v>
      </c>
    </row>
    <row r="35" spans="1:10">
      <c r="A35">
        <v>1096</v>
      </c>
      <c r="B35" t="s">
        <v>13</v>
      </c>
      <c r="C35" t="s">
        <v>17</v>
      </c>
      <c r="D35" s="1">
        <v>44927</v>
      </c>
      <c r="E35">
        <v>4317765</v>
      </c>
      <c r="F35">
        <v>1365869</v>
      </c>
      <c r="G35">
        <v>153</v>
      </c>
      <c r="H35" t="s">
        <v>18</v>
      </c>
      <c r="I35" t="str">
        <f>IF(
  F35="","Missing Cost",
  IF(
    OR(E35&lt;Outlier_Calculations!$E$1,E35&gt;Outlier_Calculations!$F$1),
    "Outlier Capped",
    "Clean"
  )
)</f>
        <v>Clean</v>
      </c>
      <c r="J35" s="3">
        <f>IF(
  E35 &lt; Outlier_Calculations!$E$1,
  Outlier_Calculations!$E$1,
  IF(
    E35 &gt; Outlier_Calculations!$F$1,
    Outlier_Calculations!$F$1,
    E35
  )
)</f>
        <v>4317765</v>
      </c>
    </row>
    <row r="36" spans="1:10">
      <c r="A36">
        <v>1029</v>
      </c>
      <c r="B36" t="s">
        <v>21</v>
      </c>
      <c r="C36" t="s">
        <v>19</v>
      </c>
      <c r="D36" s="1">
        <v>45167</v>
      </c>
      <c r="E36">
        <v>866060</v>
      </c>
      <c r="F36">
        <v>1027675</v>
      </c>
      <c r="G36">
        <v>447</v>
      </c>
      <c r="H36" t="s">
        <v>15</v>
      </c>
      <c r="I36" t="str">
        <f>IF(
  F36="","Missing Cost",
  IF(
    OR(E36&lt;Outlier_Calculations!$E$1,E36&gt;Outlier_Calculations!$F$1),
    "Outlier Capped",
    "Clean"
  )
)</f>
        <v>Clean</v>
      </c>
      <c r="J36" s="3">
        <f>IF(
  E36 &lt; Outlier_Calculations!$E$1,
  Outlier_Calculations!$E$1,
  IF(
    E36 &gt; Outlier_Calculations!$F$1,
    Outlier_Calculations!$F$1,
    E36
  )
)</f>
        <v>866060</v>
      </c>
    </row>
    <row r="37" spans="1:10">
      <c r="A37">
        <v>1090</v>
      </c>
      <c r="B37" t="s">
        <v>21</v>
      </c>
      <c r="C37" t="s">
        <v>9</v>
      </c>
      <c r="D37" s="1">
        <v>44927</v>
      </c>
      <c r="E37">
        <v>3140289</v>
      </c>
      <c r="F37">
        <v>399553</v>
      </c>
      <c r="G37">
        <v>390</v>
      </c>
      <c r="H37" t="s">
        <v>10</v>
      </c>
      <c r="I37" t="str">
        <f>IF(
  F37="","Missing Cost",
  IF(
    OR(E37&lt;Outlier_Calculations!$E$1,E37&gt;Outlier_Calculations!$F$1),
    "Outlier Capped",
    "Clean"
  )
)</f>
        <v>Clean</v>
      </c>
      <c r="J37" s="3">
        <f>IF(
  E37 &lt; Outlier_Calculations!$E$1,
  Outlier_Calculations!$E$1,
  IF(
    E37 &gt; Outlier_Calculations!$F$1,
    Outlier_Calculations!$F$1,
    E37
  )
)</f>
        <v>3140289</v>
      </c>
    </row>
    <row r="38" spans="1:10">
      <c r="A38">
        <v>1001</v>
      </c>
      <c r="B38" t="s">
        <v>13</v>
      </c>
      <c r="C38" t="s">
        <v>12</v>
      </c>
      <c r="D38" s="1">
        <v>44957</v>
      </c>
      <c r="E38">
        <v>1307384</v>
      </c>
      <c r="F38">
        <v>2553790</v>
      </c>
      <c r="G38">
        <v>77</v>
      </c>
      <c r="H38" t="s">
        <v>20</v>
      </c>
      <c r="I38" t="str">
        <f>IF(
  F38="","Missing Cost",
  IF(
    OR(E38&lt;Outlier_Calculations!$E$1,E38&gt;Outlier_Calculations!$F$1),
    "Outlier Capped",
    "Clean"
  )
)</f>
        <v>Clean</v>
      </c>
      <c r="J38" s="3">
        <f>IF(
  E38 &lt; Outlier_Calculations!$E$1,
  Outlier_Calculations!$E$1,
  IF(
    E38 &gt; Outlier_Calculations!$F$1,
    Outlier_Calculations!$F$1,
    E38
  )
)</f>
        <v>1307384</v>
      </c>
    </row>
    <row r="39" spans="1:10">
      <c r="A39">
        <v>1009</v>
      </c>
      <c r="B39" t="s">
        <v>8</v>
      </c>
      <c r="C39" t="s">
        <v>17</v>
      </c>
      <c r="D39" s="1">
        <v>45197</v>
      </c>
      <c r="E39">
        <v>3115906</v>
      </c>
      <c r="F39">
        <v>361418</v>
      </c>
      <c r="G39">
        <v>327</v>
      </c>
      <c r="H39" t="s">
        <v>18</v>
      </c>
      <c r="I39" t="str">
        <f>IF(
  F39="","Missing Cost",
  IF(
    OR(E39&lt;Outlier_Calculations!$E$1,E39&gt;Outlier_Calculations!$F$1),
    "Outlier Capped",
    "Clean"
  )
)</f>
        <v>Clean</v>
      </c>
      <c r="J39" s="3">
        <f>IF(
  E39 &lt; Outlier_Calculations!$E$1,
  Outlier_Calculations!$E$1,
  IF(
    E39 &gt; Outlier_Calculations!$F$1,
    Outlier_Calculations!$F$1,
    E39
  )
)</f>
        <v>3115906</v>
      </c>
    </row>
    <row r="40" spans="1:10">
      <c r="A40">
        <v>1016</v>
      </c>
      <c r="B40" t="s">
        <v>16</v>
      </c>
      <c r="C40" t="s">
        <v>17</v>
      </c>
      <c r="D40" s="1">
        <v>44987</v>
      </c>
      <c r="E40">
        <v>673917</v>
      </c>
      <c r="F40">
        <v>2643695</v>
      </c>
      <c r="G40">
        <v>403</v>
      </c>
      <c r="H40" t="s">
        <v>18</v>
      </c>
      <c r="I40" t="str">
        <f>IF(
  F40="","Missing Cost",
  IF(
    OR(E40&lt;Outlier_Calculations!$E$1,E40&gt;Outlier_Calculations!$F$1),
    "Outlier Capped",
    "Clean"
  )
)</f>
        <v>Clean</v>
      </c>
      <c r="J40" s="3">
        <f>IF(
  E40 &lt; Outlier_Calculations!$E$1,
  Outlier_Calculations!$E$1,
  IF(
    E40 &gt; Outlier_Calculations!$F$1,
    Outlier_Calculations!$F$1,
    E40
  )
)</f>
        <v>673917</v>
      </c>
    </row>
    <row r="41" spans="1:10">
      <c r="A41">
        <v>1038</v>
      </c>
      <c r="B41" t="s">
        <v>13</v>
      </c>
      <c r="C41" t="s">
        <v>19</v>
      </c>
      <c r="D41" s="1">
        <v>44987</v>
      </c>
      <c r="E41">
        <v>2367694</v>
      </c>
      <c r="F41">
        <v>1528912</v>
      </c>
      <c r="G41">
        <v>333</v>
      </c>
      <c r="H41" t="s">
        <v>20</v>
      </c>
      <c r="I41" t="str">
        <f>IF(
  F41="","Missing Cost",
  IF(
    OR(E41&lt;Outlier_Calculations!$E$1,E41&gt;Outlier_Calculations!$F$1),
    "Outlier Capped",
    "Clean"
  )
)</f>
        <v>Clean</v>
      </c>
      <c r="J41" s="3">
        <f>IF(
  E41 &lt; Outlier_Calculations!$E$1,
  Outlier_Calculations!$E$1,
  IF(
    E41 &gt; Outlier_Calculations!$F$1,
    Outlier_Calculations!$F$1,
    E41
  )
)</f>
        <v>2367694</v>
      </c>
    </row>
    <row r="42" spans="1:10">
      <c r="A42">
        <v>1055</v>
      </c>
      <c r="B42" t="s">
        <v>8</v>
      </c>
      <c r="C42" t="s">
        <v>12</v>
      </c>
      <c r="D42" s="1">
        <v>44957</v>
      </c>
      <c r="E42">
        <v>3837075</v>
      </c>
      <c r="F42">
        <v>901178</v>
      </c>
      <c r="G42">
        <v>192</v>
      </c>
      <c r="H42" t="s">
        <v>15</v>
      </c>
      <c r="I42" t="str">
        <f>IF(
  F42="","Missing Cost",
  IF(
    OR(E42&lt;Outlier_Calculations!$E$1,E42&gt;Outlier_Calculations!$F$1),
    "Outlier Capped",
    "Clean"
  )
)</f>
        <v>Clean</v>
      </c>
      <c r="J42" s="3">
        <f>IF(
  E42 &lt; Outlier_Calculations!$E$1,
  Outlier_Calculations!$E$1,
  IF(
    E42 &gt; Outlier_Calculations!$F$1,
    Outlier_Calculations!$F$1,
    E42
  )
)</f>
        <v>3837075</v>
      </c>
    </row>
    <row r="43" spans="1:10">
      <c r="A43">
        <v>1091</v>
      </c>
      <c r="B43" t="s">
        <v>21</v>
      </c>
      <c r="C43" t="s">
        <v>17</v>
      </c>
      <c r="D43" s="1">
        <v>45197</v>
      </c>
      <c r="E43">
        <v>4259609</v>
      </c>
      <c r="F43">
        <v>3549750</v>
      </c>
      <c r="G43">
        <v>189</v>
      </c>
      <c r="H43" t="s">
        <v>15</v>
      </c>
      <c r="I43" t="str">
        <f>IF(
  F43="","Missing Cost",
  IF(
    OR(E43&lt;Outlier_Calculations!$E$1,E43&gt;Outlier_Calculations!$F$1),
    "Outlier Capped",
    "Clean"
  )
)</f>
        <v>Clean</v>
      </c>
      <c r="J43" s="3">
        <f>IF(
  E43 &lt; Outlier_Calculations!$E$1,
  Outlier_Calculations!$E$1,
  IF(
    E43 &gt; Outlier_Calculations!$F$1,
    Outlier_Calculations!$F$1,
    E43
  )
)</f>
        <v>4259609</v>
      </c>
    </row>
    <row r="44" spans="1:10">
      <c r="A44">
        <v>1078</v>
      </c>
      <c r="B44" t="s">
        <v>8</v>
      </c>
      <c r="C44" t="s">
        <v>9</v>
      </c>
      <c r="D44" s="1">
        <v>45017</v>
      </c>
      <c r="E44">
        <v>3721080</v>
      </c>
      <c r="F44">
        <v>2734770</v>
      </c>
      <c r="G44">
        <v>237</v>
      </c>
      <c r="H44" t="s">
        <v>15</v>
      </c>
      <c r="I44" t="str">
        <f>IF(
  F44="","Missing Cost",
  IF(
    OR(E44&lt;Outlier_Calculations!$E$1,E44&gt;Outlier_Calculations!$F$1),
    "Outlier Capped",
    "Clean"
  )
)</f>
        <v>Clean</v>
      </c>
      <c r="J44" s="3">
        <f>IF(
  E44 &lt; Outlier_Calculations!$E$1,
  Outlier_Calculations!$E$1,
  IF(
    E44 &gt; Outlier_Calculations!$F$1,
    Outlier_Calculations!$F$1,
    E44
  )
)</f>
        <v>3721080</v>
      </c>
    </row>
    <row r="45" spans="1:10">
      <c r="A45">
        <v>1094</v>
      </c>
      <c r="B45" t="s">
        <v>16</v>
      </c>
      <c r="C45" t="s">
        <v>14</v>
      </c>
      <c r="D45" s="1">
        <v>44957</v>
      </c>
      <c r="E45">
        <v>3259910</v>
      </c>
      <c r="F45">
        <v>835637</v>
      </c>
      <c r="G45">
        <v>10</v>
      </c>
      <c r="H45" t="s">
        <v>20</v>
      </c>
      <c r="I45" t="str">
        <f>IF(
  F45="","Missing Cost",
  IF(
    OR(E45&lt;Outlier_Calculations!$E$1,E45&gt;Outlier_Calculations!$F$1),
    "Outlier Capped",
    "Clean"
  )
)</f>
        <v>Clean</v>
      </c>
      <c r="J45" s="3">
        <f>IF(
  E45 &lt; Outlier_Calculations!$E$1,
  Outlier_Calculations!$E$1,
  IF(
    E45 &gt; Outlier_Calculations!$F$1,
    Outlier_Calculations!$F$1,
    E45
  )
)</f>
        <v>3259910</v>
      </c>
    </row>
    <row r="46" spans="1:10">
      <c r="A46">
        <v>1003</v>
      </c>
      <c r="B46" t="s">
        <v>11</v>
      </c>
      <c r="C46" t="s">
        <v>9</v>
      </c>
      <c r="D46" s="1">
        <v>45167</v>
      </c>
      <c r="E46">
        <v>43507540</v>
      </c>
      <c r="F46">
        <v>503857</v>
      </c>
      <c r="G46">
        <v>40</v>
      </c>
      <c r="H46" t="s">
        <v>15</v>
      </c>
      <c r="I46" t="str">
        <f>IF(
  F46="","Missing Cost",
  IF(
    OR(E46&lt;Outlier_Calculations!$E$1,E46&gt;Outlier_Calculations!$F$1),
    "Outlier Capped",
    "Clean"
  )
)</f>
        <v>Outlier Capped</v>
      </c>
      <c r="J46" s="3">
        <f>IF(
  E46 &lt; Outlier_Calculations!$E$1,
  Outlier_Calculations!$E$1,
  IF(
    E46 &gt; Outlier_Calculations!$F$1,
    Outlier_Calculations!$F$1,
    E46
  )
)</f>
        <v>5762979.375</v>
      </c>
    </row>
    <row r="47" spans="1:10">
      <c r="A47">
        <v>1012</v>
      </c>
      <c r="B47" t="s">
        <v>13</v>
      </c>
      <c r="C47" t="s">
        <v>14</v>
      </c>
      <c r="D47" s="1">
        <v>45227</v>
      </c>
      <c r="E47">
        <v>2143741</v>
      </c>
      <c r="F47">
        <v>1528912</v>
      </c>
      <c r="G47">
        <v>285</v>
      </c>
      <c r="H47" t="s">
        <v>15</v>
      </c>
      <c r="I47" t="str">
        <f>IF(
  F47="","Missing Cost",
  IF(
    OR(E47&lt;Outlier_Calculations!$E$1,E47&gt;Outlier_Calculations!$F$1),
    "Outlier Capped",
    "Clean"
  )
)</f>
        <v>Clean</v>
      </c>
      <c r="J47" s="3">
        <f>IF(
  E47 &lt; Outlier_Calculations!$E$1,
  Outlier_Calculations!$E$1,
  IF(
    E47 &gt; Outlier_Calculations!$F$1,
    Outlier_Calculations!$F$1,
    E47
  )
)</f>
        <v>2143741</v>
      </c>
    </row>
    <row r="48" spans="1:10">
      <c r="A48">
        <v>1056</v>
      </c>
      <c r="B48" t="s">
        <v>8</v>
      </c>
      <c r="C48" t="s">
        <v>12</v>
      </c>
      <c r="D48" s="1">
        <v>44927</v>
      </c>
      <c r="E48">
        <v>3392269</v>
      </c>
      <c r="F48">
        <v>2491954</v>
      </c>
      <c r="G48">
        <v>197</v>
      </c>
      <c r="H48" t="s">
        <v>18</v>
      </c>
      <c r="I48" t="str">
        <f>IF(
  F48="","Missing Cost",
  IF(
    OR(E48&lt;Outlier_Calculations!$E$1,E48&gt;Outlier_Calculations!$F$1),
    "Outlier Capped",
    "Clean"
  )
)</f>
        <v>Clean</v>
      </c>
      <c r="J48" s="3">
        <f>IF(
  E48 &lt; Outlier_Calculations!$E$1,
  Outlier_Calculations!$E$1,
  IF(
    E48 &gt; Outlier_Calculations!$F$1,
    Outlier_Calculations!$F$1,
    E48
  )
)</f>
        <v>3392269</v>
      </c>
    </row>
    <row r="49" spans="1:10">
      <c r="A49">
        <v>1096</v>
      </c>
      <c r="B49" t="s">
        <v>11</v>
      </c>
      <c r="C49" t="s">
        <v>19</v>
      </c>
      <c r="D49" s="1">
        <v>44987</v>
      </c>
      <c r="E49">
        <v>4548261</v>
      </c>
      <c r="F49">
        <v>2604791</v>
      </c>
      <c r="G49">
        <v>367</v>
      </c>
      <c r="H49" t="s">
        <v>15</v>
      </c>
      <c r="I49" t="str">
        <f>IF(
  F49="","Missing Cost",
  IF(
    OR(E49&lt;Outlier_Calculations!$E$1,E49&gt;Outlier_Calculations!$F$1),
    "Outlier Capped",
    "Clean"
  )
)</f>
        <v>Clean</v>
      </c>
      <c r="J49" s="3">
        <f>IF(
  E49 &lt; Outlier_Calculations!$E$1,
  Outlier_Calculations!$E$1,
  IF(
    E49 &gt; Outlier_Calculations!$F$1,
    Outlier_Calculations!$F$1,
    E49
  )
)</f>
        <v>4548261</v>
      </c>
    </row>
    <row r="50" spans="1:10">
      <c r="A50">
        <v>1037</v>
      </c>
      <c r="B50" t="s">
        <v>16</v>
      </c>
      <c r="C50" t="s">
        <v>9</v>
      </c>
      <c r="D50" s="1">
        <v>45077</v>
      </c>
      <c r="E50">
        <v>787535</v>
      </c>
      <c r="F50">
        <v>3992425</v>
      </c>
      <c r="G50">
        <v>177</v>
      </c>
      <c r="H50" t="s">
        <v>10</v>
      </c>
      <c r="I50" t="str">
        <f>IF(
  F50="","Missing Cost",
  IF(
    OR(E50&lt;Outlier_Calculations!$E$1,E50&gt;Outlier_Calculations!$F$1),
    "Outlier Capped",
    "Clean"
  )
)</f>
        <v>Clean</v>
      </c>
      <c r="J50" s="3">
        <f>IF(
  E50 &lt; Outlier_Calculations!$E$1,
  Outlier_Calculations!$E$1,
  IF(
    E50 &gt; Outlier_Calculations!$F$1,
    Outlier_Calculations!$F$1,
    E50
  )
)</f>
        <v>787535</v>
      </c>
    </row>
    <row r="51" spans="1:10">
      <c r="A51">
        <v>1094</v>
      </c>
      <c r="B51" t="s">
        <v>21</v>
      </c>
      <c r="C51" t="s">
        <v>22</v>
      </c>
      <c r="D51" s="1">
        <v>45167</v>
      </c>
      <c r="E51">
        <v>3419441</v>
      </c>
      <c r="F51">
        <v>3605049</v>
      </c>
      <c r="G51">
        <v>110</v>
      </c>
      <c r="H51" t="s">
        <v>18</v>
      </c>
      <c r="I51" t="str">
        <f>IF(
  F51="","Missing Cost",
  IF(
    OR(E51&lt;Outlier_Calculations!$E$1,E51&gt;Outlier_Calculations!$F$1),
    "Outlier Capped",
    "Clean"
  )
)</f>
        <v>Clean</v>
      </c>
      <c r="J51" s="3">
        <f>IF(
  E51 &lt; Outlier_Calculations!$E$1,
  Outlier_Calculations!$E$1,
  IF(
    E51 &gt; Outlier_Calculations!$F$1,
    Outlier_Calculations!$F$1,
    E51
  )
)</f>
        <v>3419441</v>
      </c>
    </row>
    <row r="52" spans="1:10">
      <c r="A52">
        <v>1028</v>
      </c>
      <c r="B52" t="s">
        <v>11</v>
      </c>
      <c r="C52" t="s">
        <v>9</v>
      </c>
      <c r="D52" s="1">
        <v>45137</v>
      </c>
      <c r="E52">
        <v>3644041</v>
      </c>
      <c r="F52">
        <v>3646295</v>
      </c>
      <c r="G52">
        <v>284</v>
      </c>
      <c r="H52" t="s">
        <v>18</v>
      </c>
      <c r="I52" t="str">
        <f>IF(
  F52="","Missing Cost",
  IF(
    OR(E52&lt;Outlier_Calculations!$E$1,E52&gt;Outlier_Calculations!$F$1),
    "Outlier Capped",
    "Clean"
  )
)</f>
        <v>Clean</v>
      </c>
      <c r="J52" s="3">
        <f>IF(
  E52 &lt; Outlier_Calculations!$E$1,
  Outlier_Calculations!$E$1,
  IF(
    E52 &gt; Outlier_Calculations!$F$1,
    Outlier_Calculations!$F$1,
    E52
  )
)</f>
        <v>3644041</v>
      </c>
    </row>
    <row r="53" spans="1:10">
      <c r="A53">
        <v>1063</v>
      </c>
      <c r="B53" t="s">
        <v>13</v>
      </c>
      <c r="C53" t="s">
        <v>19</v>
      </c>
      <c r="D53" s="1">
        <v>45017</v>
      </c>
      <c r="E53">
        <v>674344</v>
      </c>
      <c r="F53">
        <v>3016380</v>
      </c>
      <c r="G53">
        <v>109</v>
      </c>
      <c r="H53" t="s">
        <v>18</v>
      </c>
      <c r="I53" t="str">
        <f>IF(
  F53="","Missing Cost",
  IF(
    OR(E53&lt;Outlier_Calculations!$E$1,E53&gt;Outlier_Calculations!$F$1),
    "Outlier Capped",
    "Clean"
  )
)</f>
        <v>Clean</v>
      </c>
      <c r="J53" s="3">
        <f>IF(
  E53 &lt; Outlier_Calculations!$E$1,
  Outlier_Calculations!$E$1,
  IF(
    E53 &gt; Outlier_Calculations!$F$1,
    Outlier_Calculations!$F$1,
    E53
  )
)</f>
        <v>674344</v>
      </c>
    </row>
    <row r="54" spans="1:10">
      <c r="A54">
        <v>1042</v>
      </c>
      <c r="B54" t="s">
        <v>21</v>
      </c>
      <c r="C54" t="s">
        <v>17</v>
      </c>
      <c r="D54" s="1">
        <v>45107</v>
      </c>
      <c r="E54">
        <v>3459022</v>
      </c>
      <c r="F54">
        <v>1253354</v>
      </c>
      <c r="G54">
        <v>384</v>
      </c>
      <c r="H54" t="s">
        <v>10</v>
      </c>
      <c r="I54" t="str">
        <f>IF(
  F54="","Missing Cost",
  IF(
    OR(E54&lt;Outlier_Calculations!$E$1,E54&gt;Outlier_Calculations!$F$1),
    "Outlier Capped",
    "Clean"
  )
)</f>
        <v>Clean</v>
      </c>
      <c r="J54" s="3">
        <f>IF(
  E54 &lt; Outlier_Calculations!$E$1,
  Outlier_Calculations!$E$1,
  IF(
    E54 &gt; Outlier_Calculations!$F$1,
    Outlier_Calculations!$F$1,
    E54
  )
)</f>
        <v>3459022</v>
      </c>
    </row>
    <row r="55" spans="1:10">
      <c r="A55">
        <v>1013</v>
      </c>
      <c r="B55" t="s">
        <v>11</v>
      </c>
      <c r="C55" t="s">
        <v>12</v>
      </c>
      <c r="D55" s="1">
        <v>44927</v>
      </c>
      <c r="E55">
        <v>4374471</v>
      </c>
      <c r="F55">
        <v>3235056</v>
      </c>
      <c r="G55">
        <v>479</v>
      </c>
      <c r="H55" t="s">
        <v>20</v>
      </c>
      <c r="I55" t="str">
        <f>IF(
  F55="","Missing Cost",
  IF(
    OR(E55&lt;Outlier_Calculations!$E$1,E55&gt;Outlier_Calculations!$F$1),
    "Outlier Capped",
    "Clean"
  )
)</f>
        <v>Clean</v>
      </c>
      <c r="J55" s="3">
        <f>IF(
  E55 &lt; Outlier_Calculations!$E$1,
  Outlier_Calculations!$E$1,
  IF(
    E55 &gt; Outlier_Calculations!$F$1,
    Outlier_Calculations!$F$1,
    E55
  )
)</f>
        <v>4374471</v>
      </c>
    </row>
    <row r="56" spans="1:10">
      <c r="A56">
        <v>1082</v>
      </c>
      <c r="B56" t="s">
        <v>11</v>
      </c>
      <c r="C56" t="s">
        <v>14</v>
      </c>
      <c r="D56" s="1">
        <v>45047</v>
      </c>
      <c r="E56">
        <v>1958707</v>
      </c>
      <c r="F56">
        <v>1204833</v>
      </c>
      <c r="G56">
        <v>99</v>
      </c>
      <c r="H56" t="s">
        <v>20</v>
      </c>
      <c r="I56" t="str">
        <f>IF(
  F56="","Missing Cost",
  IF(
    OR(E56&lt;Outlier_Calculations!$E$1,E56&gt;Outlier_Calculations!$F$1),
    "Outlier Capped",
    "Clean"
  )
)</f>
        <v>Clean</v>
      </c>
      <c r="J56" s="3">
        <f>IF(
  E56 &lt; Outlier_Calculations!$E$1,
  Outlier_Calculations!$E$1,
  IF(
    E56 &gt; Outlier_Calculations!$F$1,
    Outlier_Calculations!$F$1,
    E56
  )
)</f>
        <v>1958707</v>
      </c>
    </row>
    <row r="57" spans="1:10">
      <c r="A57">
        <v>1028</v>
      </c>
      <c r="B57" t="s">
        <v>8</v>
      </c>
      <c r="C57" t="s">
        <v>14</v>
      </c>
      <c r="D57" s="1">
        <v>44927</v>
      </c>
      <c r="E57">
        <v>233000</v>
      </c>
      <c r="F57">
        <v>2472242</v>
      </c>
      <c r="G57">
        <v>261</v>
      </c>
      <c r="H57" t="s">
        <v>10</v>
      </c>
      <c r="I57" t="str">
        <f>IF(
  F57="","Missing Cost",
  IF(
    OR(E57&lt;Outlier_Calculations!$E$1,E57&gt;Outlier_Calculations!$F$1),
    "Outlier Capped",
    "Clean"
  )
)</f>
        <v>Clean</v>
      </c>
      <c r="J57" s="3">
        <f>IF(
  E57 &lt; Outlier_Calculations!$E$1,
  Outlier_Calculations!$E$1,
  IF(
    E57 &gt; Outlier_Calculations!$F$1,
    Outlier_Calculations!$F$1,
    E57
  )
)</f>
        <v>233000</v>
      </c>
    </row>
    <row r="58" spans="1:10">
      <c r="A58">
        <v>1066</v>
      </c>
      <c r="B58" t="s">
        <v>8</v>
      </c>
      <c r="C58" t="s">
        <v>9</v>
      </c>
      <c r="D58" s="1">
        <v>44927</v>
      </c>
      <c r="E58">
        <v>4095260</v>
      </c>
      <c r="F58">
        <v>2817566</v>
      </c>
      <c r="G58">
        <v>377</v>
      </c>
      <c r="H58" t="s">
        <v>15</v>
      </c>
      <c r="I58" t="str">
        <f>IF(
  F58="","Missing Cost",
  IF(
    OR(E58&lt;Outlier_Calculations!$E$1,E58&gt;Outlier_Calculations!$F$1),
    "Outlier Capped",
    "Clean"
  )
)</f>
        <v>Clean</v>
      </c>
      <c r="J58" s="3">
        <f>IF(
  E58 &lt; Outlier_Calculations!$E$1,
  Outlier_Calculations!$E$1,
  IF(
    E58 &gt; Outlier_Calculations!$F$1,
    Outlier_Calculations!$F$1,
    E58
  )
)</f>
        <v>4095260</v>
      </c>
    </row>
    <row r="59" spans="1:10">
      <c r="A59">
        <v>1072</v>
      </c>
      <c r="B59" t="s">
        <v>8</v>
      </c>
      <c r="C59" t="s">
        <v>17</v>
      </c>
      <c r="D59" s="1">
        <v>45047</v>
      </c>
      <c r="E59">
        <v>347863</v>
      </c>
      <c r="F59">
        <v>1445218</v>
      </c>
      <c r="G59">
        <v>466</v>
      </c>
      <c r="H59" t="s">
        <v>18</v>
      </c>
      <c r="I59" t="str">
        <f>IF(
  F59="","Missing Cost",
  IF(
    OR(E59&lt;Outlier_Calculations!$E$1,E59&gt;Outlier_Calculations!$F$1),
    "Outlier Capped",
    "Clean"
  )
)</f>
        <v>Clean</v>
      </c>
      <c r="J59" s="3">
        <f>IF(
  E59 &lt; Outlier_Calculations!$E$1,
  Outlier_Calculations!$E$1,
  IF(
    E59 &gt; Outlier_Calculations!$F$1,
    Outlier_Calculations!$F$1,
    E59
  )
)</f>
        <v>347863</v>
      </c>
    </row>
    <row r="60" spans="1:10">
      <c r="A60">
        <v>1001</v>
      </c>
      <c r="B60" t="s">
        <v>21</v>
      </c>
      <c r="C60" t="s">
        <v>14</v>
      </c>
      <c r="D60" s="1">
        <v>45197</v>
      </c>
      <c r="E60">
        <v>4887901</v>
      </c>
      <c r="F60">
        <v>3298398</v>
      </c>
      <c r="G60">
        <v>50</v>
      </c>
      <c r="H60" t="s">
        <v>18</v>
      </c>
      <c r="I60" t="str">
        <f>IF(
  F60="","Missing Cost",
  IF(
    OR(E60&lt;Outlier_Calculations!$E$1,E60&gt;Outlier_Calculations!$F$1),
    "Outlier Capped",
    "Clean"
  )
)</f>
        <v>Clean</v>
      </c>
      <c r="J60" s="3">
        <f>IF(
  E60 &lt; Outlier_Calculations!$E$1,
  Outlier_Calculations!$E$1,
  IF(
    E60 &gt; Outlier_Calculations!$F$1,
    Outlier_Calculations!$F$1,
    E60
  )
)</f>
        <v>4887901</v>
      </c>
    </row>
    <row r="61" spans="1:10">
      <c r="A61">
        <v>1014</v>
      </c>
      <c r="B61" t="s">
        <v>21</v>
      </c>
      <c r="C61" t="s">
        <v>12</v>
      </c>
      <c r="D61" s="1">
        <v>45257</v>
      </c>
      <c r="E61">
        <v>4100616</v>
      </c>
      <c r="F61">
        <v>2128968</v>
      </c>
      <c r="G61">
        <v>450</v>
      </c>
      <c r="H61" t="s">
        <v>20</v>
      </c>
      <c r="I61" t="str">
        <f>IF(
  F61="","Missing Cost",
  IF(
    OR(E61&lt;Outlier_Calculations!$E$1,E61&gt;Outlier_Calculations!$F$1),
    "Outlier Capped",
    "Clean"
  )
)</f>
        <v>Clean</v>
      </c>
      <c r="J61" s="3">
        <f>IF(
  E61 &lt; Outlier_Calculations!$E$1,
  Outlier_Calculations!$E$1,
  IF(
    E61 &gt; Outlier_Calculations!$F$1,
    Outlier_Calculations!$F$1,
    E61
  )
)</f>
        <v>4100616</v>
      </c>
    </row>
    <row r="62" spans="1:10">
      <c r="A62">
        <v>1083</v>
      </c>
      <c r="B62" t="s">
        <v>11</v>
      </c>
      <c r="C62" t="s">
        <v>9</v>
      </c>
      <c r="D62" s="1">
        <v>45017</v>
      </c>
      <c r="E62">
        <v>2357536</v>
      </c>
      <c r="F62">
        <v>974320</v>
      </c>
      <c r="G62">
        <v>276</v>
      </c>
      <c r="H62" t="s">
        <v>20</v>
      </c>
      <c r="I62" t="str">
        <f>IF(
  F62="","Missing Cost",
  IF(
    OR(E62&lt;Outlier_Calculations!$E$1,E62&gt;Outlier_Calculations!$F$1),
    "Outlier Capped",
    "Clean"
  )
)</f>
        <v>Clean</v>
      </c>
      <c r="J62" s="3">
        <f>IF(
  E62 &lt; Outlier_Calculations!$E$1,
  Outlier_Calculations!$E$1,
  IF(
    E62 &gt; Outlier_Calculations!$F$1,
    Outlier_Calculations!$F$1,
    E62
  )
)</f>
        <v>2357536</v>
      </c>
    </row>
    <row r="63" spans="1:10">
      <c r="A63">
        <v>1046</v>
      </c>
      <c r="B63" t="s">
        <v>8</v>
      </c>
      <c r="C63" t="s">
        <v>19</v>
      </c>
      <c r="D63" s="1">
        <v>45107</v>
      </c>
      <c r="E63">
        <v>2035596</v>
      </c>
      <c r="F63">
        <v>823269</v>
      </c>
      <c r="G63">
        <v>94</v>
      </c>
      <c r="H63" t="s">
        <v>18</v>
      </c>
      <c r="I63" t="str">
        <f>IF(
  F63="","Missing Cost",
  IF(
    OR(E63&lt;Outlier_Calculations!$E$1,E63&gt;Outlier_Calculations!$F$1),
    "Outlier Capped",
    "Clean"
  )
)</f>
        <v>Clean</v>
      </c>
      <c r="J63" s="3">
        <f>IF(
  E63 &lt; Outlier_Calculations!$E$1,
  Outlier_Calculations!$E$1,
  IF(
    E63 &gt; Outlier_Calculations!$F$1,
    Outlier_Calculations!$F$1,
    E63
  )
)</f>
        <v>2035596</v>
      </c>
    </row>
    <row r="64" spans="1:10">
      <c r="A64">
        <v>1005</v>
      </c>
      <c r="B64" t="s">
        <v>11</v>
      </c>
      <c r="C64" t="s">
        <v>17</v>
      </c>
      <c r="D64" s="1">
        <v>45167</v>
      </c>
      <c r="E64">
        <v>3932985</v>
      </c>
      <c r="F64">
        <v>2319930</v>
      </c>
      <c r="G64">
        <v>304</v>
      </c>
      <c r="H64" t="s">
        <v>10</v>
      </c>
      <c r="I64" t="str">
        <f>IF(
  F64="","Missing Cost",
  IF(
    OR(E64&lt;Outlier_Calculations!$E$1,E64&gt;Outlier_Calculations!$F$1),
    "Outlier Capped",
    "Clean"
  )
)</f>
        <v>Clean</v>
      </c>
      <c r="J64" s="3">
        <f>IF(
  E64 &lt; Outlier_Calculations!$E$1,
  Outlier_Calculations!$E$1,
  IF(
    E64 &gt; Outlier_Calculations!$F$1,
    Outlier_Calculations!$F$1,
    E64
  )
)</f>
        <v>3932985</v>
      </c>
    </row>
    <row r="65" spans="1:10">
      <c r="A65">
        <v>1093</v>
      </c>
      <c r="B65" t="s">
        <v>21</v>
      </c>
      <c r="C65" t="s">
        <v>19</v>
      </c>
      <c r="D65" s="1">
        <v>45227</v>
      </c>
      <c r="E65">
        <v>4698887</v>
      </c>
      <c r="F65">
        <v>3472871</v>
      </c>
      <c r="G65">
        <v>216</v>
      </c>
      <c r="H65" t="s">
        <v>10</v>
      </c>
      <c r="I65" t="str">
        <f>IF(
  F65="","Missing Cost",
  IF(
    OR(E65&lt;Outlier_Calculations!$E$1,E65&gt;Outlier_Calculations!$F$1),
    "Outlier Capped",
    "Clean"
  )
)</f>
        <v>Clean</v>
      </c>
      <c r="J65" s="3">
        <f>IF(
  E65 &lt; Outlier_Calculations!$E$1,
  Outlier_Calculations!$E$1,
  IF(
    E65 &gt; Outlier_Calculations!$F$1,
    Outlier_Calculations!$F$1,
    E65
  )
)</f>
        <v>4698887</v>
      </c>
    </row>
    <row r="66" spans="1:10">
      <c r="A66">
        <v>1011</v>
      </c>
      <c r="B66" t="s">
        <v>8</v>
      </c>
      <c r="C66" t="s">
        <v>17</v>
      </c>
      <c r="D66" s="1">
        <v>45257</v>
      </c>
      <c r="E66">
        <v>3898583</v>
      </c>
      <c r="F66">
        <v>1713496</v>
      </c>
      <c r="G66">
        <v>279</v>
      </c>
      <c r="H66" t="s">
        <v>10</v>
      </c>
      <c r="I66" t="str">
        <f>IF(
  F66="","Missing Cost",
  IF(
    OR(E66&lt;Outlier_Calculations!$E$1,E66&gt;Outlier_Calculations!$F$1),
    "Outlier Capped",
    "Clean"
  )
)</f>
        <v>Clean</v>
      </c>
      <c r="J66" s="3">
        <f>IF(
  E66 &lt; Outlier_Calculations!$E$1,
  Outlier_Calculations!$E$1,
  IF(
    E66 &gt; Outlier_Calculations!$F$1,
    Outlier_Calculations!$F$1,
    E66
  )
)</f>
        <v>3898583</v>
      </c>
    </row>
    <row r="67" spans="1:10">
      <c r="A67">
        <v>1033</v>
      </c>
      <c r="B67" t="s">
        <v>16</v>
      </c>
      <c r="C67" t="s">
        <v>9</v>
      </c>
      <c r="D67" s="1">
        <v>45137</v>
      </c>
      <c r="E67">
        <v>-1570630</v>
      </c>
      <c r="F67">
        <v>3821201</v>
      </c>
      <c r="G67">
        <v>26</v>
      </c>
      <c r="H67" t="s">
        <v>15</v>
      </c>
      <c r="I67" t="str">
        <f>IF(
  F67="","Missing Cost",
  IF(
    OR(E67&lt;Outlier_Calculations!$E$1,E67&gt;Outlier_Calculations!$F$1),
    "Outlier Capped",
    "Clean"
  )
)</f>
        <v>Clean</v>
      </c>
      <c r="J67" s="3">
        <f>IF(
  E67 &lt; Outlier_Calculations!$E$1,
  Outlier_Calculations!$E$1,
  IF(
    E67 &gt; Outlier_Calculations!$F$1,
    Outlier_Calculations!$F$1,
    E67
  )
)</f>
        <v>-1570630</v>
      </c>
    </row>
    <row r="68" spans="1:10">
      <c r="A68">
        <v>1098</v>
      </c>
      <c r="B68" t="s">
        <v>21</v>
      </c>
      <c r="C68" t="s">
        <v>17</v>
      </c>
      <c r="D68" s="1">
        <v>45107</v>
      </c>
      <c r="E68">
        <v>4822164</v>
      </c>
      <c r="F68">
        <v>1471696</v>
      </c>
      <c r="G68">
        <v>80</v>
      </c>
      <c r="H68" t="s">
        <v>10</v>
      </c>
      <c r="I68" t="str">
        <f>IF(
  F68="","Missing Cost",
  IF(
    OR(E68&lt;Outlier_Calculations!$E$1,E68&gt;Outlier_Calculations!$F$1),
    "Outlier Capped",
    "Clean"
  )
)</f>
        <v>Clean</v>
      </c>
      <c r="J68" s="3">
        <f>IF(
  E68 &lt; Outlier_Calculations!$E$1,
  Outlier_Calculations!$E$1,
  IF(
    E68 &gt; Outlier_Calculations!$F$1,
    Outlier_Calculations!$F$1,
    E68
  )
)</f>
        <v>4822164</v>
      </c>
    </row>
    <row r="69" spans="1:10">
      <c r="A69">
        <v>1053</v>
      </c>
      <c r="B69" t="s">
        <v>13</v>
      </c>
      <c r="C69" t="s">
        <v>19</v>
      </c>
      <c r="D69" s="1">
        <v>45257</v>
      </c>
      <c r="E69">
        <v>2398187</v>
      </c>
      <c r="F69">
        <v>1934039</v>
      </c>
      <c r="G69">
        <v>71</v>
      </c>
      <c r="H69" t="s">
        <v>18</v>
      </c>
      <c r="I69" t="str">
        <f>IF(
  F69="","Missing Cost",
  IF(
    OR(E69&lt;Outlier_Calculations!$E$1,E69&gt;Outlier_Calculations!$F$1),
    "Outlier Capped",
    "Clean"
  )
)</f>
        <v>Clean</v>
      </c>
      <c r="J69" s="3">
        <f>IF(
  E69 &lt; Outlier_Calculations!$E$1,
  Outlier_Calculations!$E$1,
  IF(
    E69 &gt; Outlier_Calculations!$F$1,
    Outlier_Calculations!$F$1,
    E69
  )
)</f>
        <v>2398187</v>
      </c>
    </row>
    <row r="70" spans="1:10">
      <c r="A70">
        <v>1046</v>
      </c>
      <c r="B70" t="s">
        <v>8</v>
      </c>
      <c r="C70" t="s">
        <v>19</v>
      </c>
      <c r="D70" s="1">
        <v>45257</v>
      </c>
      <c r="E70">
        <v>895001</v>
      </c>
      <c r="F70">
        <v>1991948</v>
      </c>
      <c r="G70">
        <v>181</v>
      </c>
      <c r="H70" t="s">
        <v>15</v>
      </c>
      <c r="I70" t="str">
        <f>IF(
  F70="","Missing Cost",
  IF(
    OR(E70&lt;Outlier_Calculations!$E$1,E70&gt;Outlier_Calculations!$F$1),
    "Outlier Capped",
    "Clean"
  )
)</f>
        <v>Clean</v>
      </c>
      <c r="J70" s="3">
        <f>IF(
  E70 &lt; Outlier_Calculations!$E$1,
  Outlier_Calculations!$E$1,
  IF(
    E70 &gt; Outlier_Calculations!$F$1,
    Outlier_Calculations!$F$1,
    E70
  )
)</f>
        <v>895001</v>
      </c>
    </row>
    <row r="71" spans="1:10">
      <c r="A71">
        <v>1077</v>
      </c>
      <c r="B71" t="s">
        <v>11</v>
      </c>
      <c r="C71" t="s">
        <v>17</v>
      </c>
      <c r="D71" s="1">
        <v>45077</v>
      </c>
      <c r="E71">
        <v>1883842</v>
      </c>
      <c r="F71">
        <v>2721601</v>
      </c>
      <c r="G71">
        <v>305</v>
      </c>
      <c r="H71" t="s">
        <v>10</v>
      </c>
      <c r="I71" t="str">
        <f>IF(
  F71="","Missing Cost",
  IF(
    OR(E71&lt;Outlier_Calculations!$E$1,E71&gt;Outlier_Calculations!$F$1),
    "Outlier Capped",
    "Clean"
  )
)</f>
        <v>Clean</v>
      </c>
      <c r="J71" s="3">
        <f>IF(
  E71 &lt; Outlier_Calculations!$E$1,
  Outlier_Calculations!$E$1,
  IF(
    E71 &gt; Outlier_Calculations!$F$1,
    Outlier_Calculations!$F$1,
    E71
  )
)</f>
        <v>1883842</v>
      </c>
    </row>
    <row r="72" spans="1:10">
      <c r="A72">
        <v>1025</v>
      </c>
      <c r="B72" t="s">
        <v>8</v>
      </c>
      <c r="C72" t="s">
        <v>12</v>
      </c>
      <c r="D72" s="1">
        <v>45047</v>
      </c>
      <c r="E72">
        <v>2299853</v>
      </c>
      <c r="F72">
        <v>1787084</v>
      </c>
      <c r="G72">
        <v>314</v>
      </c>
      <c r="H72" t="s">
        <v>15</v>
      </c>
      <c r="I72" t="str">
        <f>IF(
  F72="","Missing Cost",
  IF(
    OR(E72&lt;Outlier_Calculations!$E$1,E72&gt;Outlier_Calculations!$F$1),
    "Outlier Capped",
    "Clean"
  )
)</f>
        <v>Clean</v>
      </c>
      <c r="J72" s="3">
        <f>IF(
  E72 &lt; Outlier_Calculations!$E$1,
  Outlier_Calculations!$E$1,
  IF(
    E72 &gt; Outlier_Calculations!$F$1,
    Outlier_Calculations!$F$1,
    E72
  )
)</f>
        <v>2299853</v>
      </c>
    </row>
    <row r="73" spans="1:10">
      <c r="A73">
        <v>1045</v>
      </c>
      <c r="B73" t="s">
        <v>8</v>
      </c>
      <c r="C73" t="s">
        <v>14</v>
      </c>
      <c r="D73" s="1">
        <v>44957</v>
      </c>
      <c r="E73">
        <v>2666739</v>
      </c>
      <c r="F73">
        <v>2715884</v>
      </c>
      <c r="G73">
        <v>440</v>
      </c>
      <c r="H73" t="s">
        <v>10</v>
      </c>
      <c r="I73" t="str">
        <f>IF(
  F73="","Missing Cost",
  IF(
    OR(E73&lt;Outlier_Calculations!$E$1,E73&gt;Outlier_Calculations!$F$1),
    "Outlier Capped",
    "Clean"
  )
)</f>
        <v>Clean</v>
      </c>
      <c r="J73" s="3">
        <f>IF(
  E73 &lt; Outlier_Calculations!$E$1,
  Outlier_Calculations!$E$1,
  IF(
    E73 &gt; Outlier_Calculations!$F$1,
    Outlier_Calculations!$F$1,
    E73
  )
)</f>
        <v>2666739</v>
      </c>
    </row>
    <row r="74" spans="1:10">
      <c r="A74">
        <v>1006</v>
      </c>
      <c r="B74" t="s">
        <v>21</v>
      </c>
      <c r="C74" t="s">
        <v>12</v>
      </c>
      <c r="D74" s="1">
        <v>45077</v>
      </c>
      <c r="E74">
        <v>4296082</v>
      </c>
      <c r="F74">
        <v>3985302</v>
      </c>
      <c r="G74">
        <v>293</v>
      </c>
      <c r="H74" t="s">
        <v>18</v>
      </c>
      <c r="I74" t="str">
        <f>IF(
  F74="","Missing Cost",
  IF(
    OR(E74&lt;Outlier_Calculations!$E$1,E74&gt;Outlier_Calculations!$F$1),
    "Outlier Capped",
    "Clean"
  )
)</f>
        <v>Clean</v>
      </c>
      <c r="J74" s="3">
        <f>IF(
  E74 &lt; Outlier_Calculations!$E$1,
  Outlier_Calculations!$E$1,
  IF(
    E74 &gt; Outlier_Calculations!$F$1,
    Outlier_Calculations!$F$1,
    E74
  )
)</f>
        <v>4296082</v>
      </c>
    </row>
    <row r="75" spans="1:10">
      <c r="A75">
        <v>1059</v>
      </c>
      <c r="B75" t="s">
        <v>11</v>
      </c>
      <c r="C75" t="s">
        <v>17</v>
      </c>
      <c r="D75" s="1">
        <v>44987</v>
      </c>
      <c r="E75">
        <v>1775481</v>
      </c>
      <c r="F75">
        <v>2363114</v>
      </c>
      <c r="G75">
        <v>349</v>
      </c>
      <c r="H75" t="s">
        <v>20</v>
      </c>
      <c r="I75" t="str">
        <f>IF(
  F75="","Missing Cost",
  IF(
    OR(E75&lt;Outlier_Calculations!$E$1,E75&gt;Outlier_Calculations!$F$1),
    "Outlier Capped",
    "Clean"
  )
)</f>
        <v>Clean</v>
      </c>
      <c r="J75" s="3">
        <f>IF(
  E75 &lt; Outlier_Calculations!$E$1,
  Outlier_Calculations!$E$1,
  IF(
    E75 &gt; Outlier_Calculations!$F$1,
    Outlier_Calculations!$F$1,
    E75
  )
)</f>
        <v>1775481</v>
      </c>
    </row>
    <row r="76" spans="1:10">
      <c r="A76">
        <v>1058</v>
      </c>
      <c r="B76" t="s">
        <v>11</v>
      </c>
      <c r="C76" t="s">
        <v>22</v>
      </c>
      <c r="D76" s="1">
        <v>45017</v>
      </c>
      <c r="E76">
        <v>3332234</v>
      </c>
      <c r="F76">
        <v>62805</v>
      </c>
      <c r="G76">
        <v>160</v>
      </c>
      <c r="H76" t="s">
        <v>10</v>
      </c>
      <c r="I76" t="str">
        <f>IF(
  F76="","Missing Cost",
  IF(
    OR(E76&lt;Outlier_Calculations!$E$1,E76&gt;Outlier_Calculations!$F$1),
    "Outlier Capped",
    "Clean"
  )
)</f>
        <v>Clean</v>
      </c>
      <c r="J76" s="3">
        <f>IF(
  E76 &lt; Outlier_Calculations!$E$1,
  Outlier_Calculations!$E$1,
  IF(
    E76 &gt; Outlier_Calculations!$F$1,
    Outlier_Calculations!$F$1,
    E76
  )
)</f>
        <v>3332234</v>
      </c>
    </row>
    <row r="77" spans="1:10">
      <c r="A77">
        <v>1084</v>
      </c>
      <c r="B77" t="s">
        <v>16</v>
      </c>
      <c r="C77" t="s">
        <v>17</v>
      </c>
      <c r="D77" s="1">
        <v>45077</v>
      </c>
      <c r="E77">
        <v>1502602</v>
      </c>
      <c r="F77">
        <v>3992164</v>
      </c>
      <c r="G77">
        <v>237</v>
      </c>
      <c r="H77" t="s">
        <v>20</v>
      </c>
      <c r="I77" t="str">
        <f>IF(
  F77="","Missing Cost",
  IF(
    OR(E77&lt;Outlier_Calculations!$E$1,E77&gt;Outlier_Calculations!$F$1),
    "Outlier Capped",
    "Clean"
  )
)</f>
        <v>Clean</v>
      </c>
      <c r="J77" s="3">
        <f>IF(
  E77 &lt; Outlier_Calculations!$E$1,
  Outlier_Calculations!$E$1,
  IF(
    E77 &gt; Outlier_Calculations!$F$1,
    Outlier_Calculations!$F$1,
    E77
  )
)</f>
        <v>1502602</v>
      </c>
    </row>
    <row r="78" spans="1:10">
      <c r="A78">
        <v>1063</v>
      </c>
      <c r="B78" t="s">
        <v>21</v>
      </c>
      <c r="C78" t="s">
        <v>19</v>
      </c>
      <c r="D78" s="1">
        <v>45077</v>
      </c>
      <c r="E78">
        <v>1520053</v>
      </c>
      <c r="F78">
        <v>303789</v>
      </c>
      <c r="G78">
        <v>352</v>
      </c>
      <c r="H78" t="s">
        <v>18</v>
      </c>
      <c r="I78" t="str">
        <f>IF(
  F78="","Missing Cost",
  IF(
    OR(E78&lt;Outlier_Calculations!$E$1,E78&gt;Outlier_Calculations!$F$1),
    "Outlier Capped",
    "Clean"
  )
)</f>
        <v>Clean</v>
      </c>
      <c r="J78" s="3">
        <f>IF(
  E78 &lt; Outlier_Calculations!$E$1,
  Outlier_Calculations!$E$1,
  IF(
    E78 &gt; Outlier_Calculations!$F$1,
    Outlier_Calculations!$F$1,
    E78
  )
)</f>
        <v>1520053</v>
      </c>
    </row>
    <row r="79" spans="1:10">
      <c r="A79">
        <v>1078</v>
      </c>
      <c r="B79" t="s">
        <v>11</v>
      </c>
      <c r="C79" t="s">
        <v>19</v>
      </c>
      <c r="D79" s="1">
        <v>45227</v>
      </c>
      <c r="E79">
        <v>513372</v>
      </c>
      <c r="F79">
        <v>663143</v>
      </c>
      <c r="G79">
        <v>130</v>
      </c>
      <c r="H79" t="s">
        <v>10</v>
      </c>
      <c r="I79" t="str">
        <f>IF(
  F79="","Missing Cost",
  IF(
    OR(E79&lt;Outlier_Calculations!$E$1,E79&gt;Outlier_Calculations!$F$1),
    "Outlier Capped",
    "Clean"
  )
)</f>
        <v>Clean</v>
      </c>
      <c r="J79" s="3">
        <f>IF(
  E79 &lt; Outlier_Calculations!$E$1,
  Outlier_Calculations!$E$1,
  IF(
    E79 &gt; Outlier_Calculations!$F$1,
    Outlier_Calculations!$F$1,
    E79
  )
)</f>
        <v>513372</v>
      </c>
    </row>
    <row r="80" spans="1:10">
      <c r="A80">
        <v>1023</v>
      </c>
      <c r="B80" t="s">
        <v>16</v>
      </c>
      <c r="C80" t="s">
        <v>9</v>
      </c>
      <c r="D80" s="1">
        <v>45227</v>
      </c>
      <c r="E80">
        <v>1842578</v>
      </c>
      <c r="F80">
        <v>1904744</v>
      </c>
      <c r="G80">
        <v>94</v>
      </c>
      <c r="H80" t="s">
        <v>10</v>
      </c>
      <c r="I80" t="str">
        <f>IF(
  F80="","Missing Cost",
  IF(
    OR(E80&lt;Outlier_Calculations!$E$1,E80&gt;Outlier_Calculations!$F$1),
    "Outlier Capped",
    "Clean"
  )
)</f>
        <v>Clean</v>
      </c>
      <c r="J80" s="3">
        <f>IF(
  E80 &lt; Outlier_Calculations!$E$1,
  Outlier_Calculations!$E$1,
  IF(
    E80 &gt; Outlier_Calculations!$F$1,
    Outlier_Calculations!$F$1,
    E80
  )
)</f>
        <v>1842578</v>
      </c>
    </row>
    <row r="81" spans="1:10">
      <c r="A81">
        <v>1039</v>
      </c>
      <c r="B81" t="s">
        <v>16</v>
      </c>
      <c r="C81" t="s">
        <v>19</v>
      </c>
      <c r="D81" s="1">
        <v>45137</v>
      </c>
      <c r="E81">
        <v>4906869</v>
      </c>
      <c r="F81">
        <v>2451694.5</v>
      </c>
      <c r="G81">
        <v>390</v>
      </c>
      <c r="H81" t="s">
        <v>20</v>
      </c>
      <c r="I81" t="str">
        <f>IF(
  F81="","Missing Cost",
  IF(
    OR(E81&lt;Outlier_Calculations!$E$1,E81&gt;Outlier_Calculations!$F$1),
    "Outlier Capped",
    "Clean"
  )
)</f>
        <v>Clean</v>
      </c>
      <c r="J81" s="3">
        <f>IF(
  E81 &lt; Outlier_Calculations!$E$1,
  Outlier_Calculations!$E$1,
  IF(
    E81 &gt; Outlier_Calculations!$F$1,
    Outlier_Calculations!$F$1,
    E81
  )
)</f>
        <v>4906869</v>
      </c>
    </row>
    <row r="82" spans="1:10">
      <c r="A82">
        <v>1042</v>
      </c>
      <c r="B82" t="s">
        <v>21</v>
      </c>
      <c r="C82" t="s">
        <v>12</v>
      </c>
      <c r="D82" s="1">
        <v>45257</v>
      </c>
      <c r="E82">
        <v>454298</v>
      </c>
      <c r="F82">
        <v>1084800</v>
      </c>
      <c r="G82">
        <v>77</v>
      </c>
      <c r="H82" t="s">
        <v>18</v>
      </c>
      <c r="I82" t="str">
        <f>IF(
  F82="","Missing Cost",
  IF(
    OR(E82&lt;Outlier_Calculations!$E$1,E82&gt;Outlier_Calculations!$F$1),
    "Outlier Capped",
    "Clean"
  )
)</f>
        <v>Clean</v>
      </c>
      <c r="J82" s="3">
        <f>IF(
  E82 &lt; Outlier_Calculations!$E$1,
  Outlier_Calculations!$E$1,
  IF(
    E82 &gt; Outlier_Calculations!$F$1,
    Outlier_Calculations!$F$1,
    E82
  )
)</f>
        <v>454298</v>
      </c>
    </row>
    <row r="83" spans="1:10">
      <c r="A83">
        <v>1070</v>
      </c>
      <c r="B83" t="s">
        <v>13</v>
      </c>
      <c r="C83" t="s">
        <v>19</v>
      </c>
      <c r="D83" s="1">
        <v>45107</v>
      </c>
      <c r="E83">
        <v>2858530</v>
      </c>
      <c r="F83">
        <v>2156352</v>
      </c>
      <c r="G83">
        <v>210</v>
      </c>
      <c r="H83" t="s">
        <v>15</v>
      </c>
      <c r="I83" t="str">
        <f>IF(
  F83="","Missing Cost",
  IF(
    OR(E83&lt;Outlier_Calculations!$E$1,E83&gt;Outlier_Calculations!$F$1),
    "Outlier Capped",
    "Clean"
  )
)</f>
        <v>Clean</v>
      </c>
      <c r="J83" s="3">
        <f>IF(
  E83 &lt; Outlier_Calculations!$E$1,
  Outlier_Calculations!$E$1,
  IF(
    E83 &gt; Outlier_Calculations!$F$1,
    Outlier_Calculations!$F$1,
    E83
  )
)</f>
        <v>2858530</v>
      </c>
    </row>
    <row r="84" spans="1:10">
      <c r="A84">
        <v>1002</v>
      </c>
      <c r="B84" t="s">
        <v>21</v>
      </c>
      <c r="C84" t="s">
        <v>9</v>
      </c>
      <c r="D84" s="1">
        <v>45107</v>
      </c>
      <c r="E84">
        <v>3386900</v>
      </c>
      <c r="F84">
        <v>3705345</v>
      </c>
      <c r="G84">
        <v>50</v>
      </c>
      <c r="H84" t="s">
        <v>15</v>
      </c>
      <c r="I84" t="str">
        <f>IF(
  F84="","Missing Cost",
  IF(
    OR(E84&lt;Outlier_Calculations!$E$1,E84&gt;Outlier_Calculations!$F$1),
    "Outlier Capped",
    "Clean"
  )
)</f>
        <v>Clean</v>
      </c>
      <c r="J84" s="3">
        <f>IF(
  E84 &lt; Outlier_Calculations!$E$1,
  Outlier_Calculations!$E$1,
  IF(
    E84 &gt; Outlier_Calculations!$F$1,
    Outlier_Calculations!$F$1,
    E84
  )
)</f>
        <v>3386900</v>
      </c>
    </row>
    <row r="85" spans="1:10">
      <c r="A85">
        <v>1052</v>
      </c>
      <c r="B85" t="s">
        <v>11</v>
      </c>
      <c r="C85" t="s">
        <v>17</v>
      </c>
      <c r="D85" s="1">
        <v>45227</v>
      </c>
      <c r="E85">
        <v>3412816</v>
      </c>
      <c r="F85">
        <v>1601239</v>
      </c>
      <c r="G85">
        <v>485</v>
      </c>
      <c r="H85" t="s">
        <v>10</v>
      </c>
      <c r="I85" t="str">
        <f>IF(
  F85="","Missing Cost",
  IF(
    OR(E85&lt;Outlier_Calculations!$E$1,E85&gt;Outlier_Calculations!$F$1),
    "Outlier Capped",
    "Clean"
  )
)</f>
        <v>Clean</v>
      </c>
      <c r="J85" s="3">
        <f>IF(
  E85 &lt; Outlier_Calculations!$E$1,
  Outlier_Calculations!$E$1,
  IF(
    E85 &gt; Outlier_Calculations!$F$1,
    Outlier_Calculations!$F$1,
    E85
  )
)</f>
        <v>3412816</v>
      </c>
    </row>
    <row r="86" spans="1:10">
      <c r="A86">
        <v>1018</v>
      </c>
      <c r="B86" t="s">
        <v>11</v>
      </c>
      <c r="C86" t="s">
        <v>19</v>
      </c>
      <c r="D86" s="1">
        <v>44927</v>
      </c>
      <c r="E86">
        <v>1022620</v>
      </c>
      <c r="F86">
        <v>874151</v>
      </c>
      <c r="G86">
        <v>143</v>
      </c>
      <c r="H86" t="s">
        <v>15</v>
      </c>
      <c r="I86" t="str">
        <f>IF(
  F86="","Missing Cost",
  IF(
    OR(E86&lt;Outlier_Calculations!$E$1,E86&gt;Outlier_Calculations!$F$1),
    "Outlier Capped",
    "Clean"
  )
)</f>
        <v>Clean</v>
      </c>
      <c r="J86" s="3">
        <f>IF(
  E86 &lt; Outlier_Calculations!$E$1,
  Outlier_Calculations!$E$1,
  IF(
    E86 &gt; Outlier_Calculations!$F$1,
    Outlier_Calculations!$F$1,
    E86
  )
)</f>
        <v>1022620</v>
      </c>
    </row>
    <row r="87" spans="1:10">
      <c r="A87">
        <v>1076</v>
      </c>
      <c r="B87" t="s">
        <v>16</v>
      </c>
      <c r="C87" t="s">
        <v>14</v>
      </c>
      <c r="D87" s="1">
        <v>45227</v>
      </c>
      <c r="E87">
        <v>1399162</v>
      </c>
      <c r="F87">
        <v>2455432</v>
      </c>
      <c r="G87">
        <v>72</v>
      </c>
      <c r="H87" t="s">
        <v>18</v>
      </c>
      <c r="I87" t="str">
        <f>IF(
  F87="","Missing Cost",
  IF(
    OR(E87&lt;Outlier_Calculations!$E$1,E87&gt;Outlier_Calculations!$F$1),
    "Outlier Capped",
    "Clean"
  )
)</f>
        <v>Clean</v>
      </c>
      <c r="J87" s="3">
        <f>IF(
  E87 &lt; Outlier_Calculations!$E$1,
  Outlier_Calculations!$E$1,
  IF(
    E87 &gt; Outlier_Calculations!$F$1,
    Outlier_Calculations!$F$1,
    E87
  )
)</f>
        <v>1399162</v>
      </c>
    </row>
    <row r="88" spans="1:10">
      <c r="A88">
        <v>1041</v>
      </c>
      <c r="B88" t="s">
        <v>21</v>
      </c>
      <c r="C88" t="s">
        <v>19</v>
      </c>
      <c r="D88" s="1">
        <v>45197</v>
      </c>
      <c r="E88">
        <v>795849</v>
      </c>
      <c r="F88">
        <v>3924373</v>
      </c>
      <c r="G88">
        <v>284</v>
      </c>
      <c r="H88" t="s">
        <v>15</v>
      </c>
      <c r="I88" t="str">
        <f>IF(
  F88="","Missing Cost",
  IF(
    OR(E88&lt;Outlier_Calculations!$E$1,E88&gt;Outlier_Calculations!$F$1),
    "Outlier Capped",
    "Clean"
  )
)</f>
        <v>Clean</v>
      </c>
      <c r="J88" s="3">
        <f>IF(
  E88 &lt; Outlier_Calculations!$E$1,
  Outlier_Calculations!$E$1,
  IF(
    E88 &gt; Outlier_Calculations!$F$1,
    Outlier_Calculations!$F$1,
    E88
  )
)</f>
        <v>795849</v>
      </c>
    </row>
    <row r="89" spans="1:10">
      <c r="A89">
        <v>1027</v>
      </c>
      <c r="B89" t="s">
        <v>21</v>
      </c>
      <c r="C89" t="s">
        <v>19</v>
      </c>
      <c r="D89" s="1">
        <v>45107</v>
      </c>
      <c r="E89">
        <v>4283193</v>
      </c>
      <c r="F89">
        <v>2310939</v>
      </c>
      <c r="G89">
        <v>79</v>
      </c>
      <c r="H89" t="s">
        <v>18</v>
      </c>
      <c r="I89" t="str">
        <f>IF(
  F89="","Missing Cost",
  IF(
    OR(E89&lt;Outlier_Calculations!$E$1,E89&gt;Outlier_Calculations!$F$1),
    "Outlier Capped",
    "Clean"
  )
)</f>
        <v>Clean</v>
      </c>
      <c r="J89" s="3">
        <f>IF(
  E89 &lt; Outlier_Calculations!$E$1,
  Outlier_Calculations!$E$1,
  IF(
    E89 &gt; Outlier_Calculations!$F$1,
    Outlier_Calculations!$F$1,
    E89
  )
)</f>
        <v>4283193</v>
      </c>
    </row>
    <row r="90" spans="1:10">
      <c r="A90">
        <v>1078</v>
      </c>
      <c r="B90" t="s">
        <v>16</v>
      </c>
      <c r="C90" t="s">
        <v>12</v>
      </c>
      <c r="D90" s="1">
        <v>45137</v>
      </c>
      <c r="E90">
        <v>1459865</v>
      </c>
      <c r="F90">
        <v>3906742</v>
      </c>
      <c r="G90">
        <v>58</v>
      </c>
      <c r="H90" t="s">
        <v>20</v>
      </c>
      <c r="I90" t="str">
        <f>IF(
  F90="","Missing Cost",
  IF(
    OR(E90&lt;Outlier_Calculations!$E$1,E90&gt;Outlier_Calculations!$F$1),
    "Outlier Capped",
    "Clean"
  )
)</f>
        <v>Clean</v>
      </c>
      <c r="J90" s="3">
        <f>IF(
  E90 &lt; Outlier_Calculations!$E$1,
  Outlier_Calculations!$E$1,
  IF(
    E90 &gt; Outlier_Calculations!$F$1,
    Outlier_Calculations!$F$1,
    E90
  )
)</f>
        <v>1459865</v>
      </c>
    </row>
    <row r="91" spans="1:10">
      <c r="A91">
        <v>1055</v>
      </c>
      <c r="B91" t="s">
        <v>8</v>
      </c>
      <c r="C91" t="s">
        <v>9</v>
      </c>
      <c r="D91" s="1">
        <v>45167</v>
      </c>
      <c r="E91">
        <v>7021660</v>
      </c>
      <c r="F91">
        <v>2508361</v>
      </c>
      <c r="G91">
        <v>433</v>
      </c>
      <c r="H91" t="s">
        <v>10</v>
      </c>
      <c r="I91" t="str">
        <f>IF(
  F91="","Missing Cost",
  IF(
    OR(E91&lt;Outlier_Calculations!$E$1,E91&gt;Outlier_Calculations!$F$1),
    "Outlier Capped",
    "Clean"
  )
)</f>
        <v>Outlier Capped</v>
      </c>
      <c r="J91" s="3">
        <f>IF(
  E91 &lt; Outlier_Calculations!$E$1,
  Outlier_Calculations!$E$1,
  IF(
    E91 &gt; Outlier_Calculations!$F$1,
    Outlier_Calculations!$F$1,
    E91
  )
)</f>
        <v>5762979.375</v>
      </c>
    </row>
    <row r="92" spans="1:10">
      <c r="A92">
        <v>1067</v>
      </c>
      <c r="B92" t="s">
        <v>8</v>
      </c>
      <c r="C92" t="s">
        <v>19</v>
      </c>
      <c r="D92" s="1">
        <v>45197</v>
      </c>
      <c r="E92">
        <v>1816537</v>
      </c>
      <c r="F92">
        <v>182064</v>
      </c>
      <c r="G92">
        <v>109</v>
      </c>
      <c r="H92" t="s">
        <v>10</v>
      </c>
      <c r="I92" t="str">
        <f>IF(
  F92="","Missing Cost",
  IF(
    OR(E92&lt;Outlier_Calculations!$E$1,E92&gt;Outlier_Calculations!$F$1),
    "Outlier Capped",
    "Clean"
  )
)</f>
        <v>Clean</v>
      </c>
      <c r="J92" s="3">
        <f>IF(
  E92 &lt; Outlier_Calculations!$E$1,
  Outlier_Calculations!$E$1,
  IF(
    E92 &gt; Outlier_Calculations!$F$1,
    Outlier_Calculations!$F$1,
    E92
  )
)</f>
        <v>1816537</v>
      </c>
    </row>
    <row r="93" spans="1:10">
      <c r="A93">
        <v>1079</v>
      </c>
      <c r="B93" t="s">
        <v>13</v>
      </c>
      <c r="C93" t="s">
        <v>9</v>
      </c>
      <c r="D93" s="1">
        <v>45257</v>
      </c>
      <c r="E93">
        <v>4596360</v>
      </c>
      <c r="F93">
        <v>900028</v>
      </c>
      <c r="G93">
        <v>149</v>
      </c>
      <c r="H93" t="s">
        <v>10</v>
      </c>
      <c r="I93" t="str">
        <f>IF(
  F93="","Missing Cost",
  IF(
    OR(E93&lt;Outlier_Calculations!$E$1,E93&gt;Outlier_Calculations!$F$1),
    "Outlier Capped",
    "Clean"
  )
)</f>
        <v>Clean</v>
      </c>
      <c r="J93" s="3">
        <f>IF(
  E93 &lt; Outlier_Calculations!$E$1,
  Outlier_Calculations!$E$1,
  IF(
    E93 &gt; Outlier_Calculations!$F$1,
    Outlier_Calculations!$F$1,
    E93
  )
)</f>
        <v>4596360</v>
      </c>
    </row>
    <row r="94" spans="1:10">
      <c r="A94">
        <v>1048</v>
      </c>
      <c r="B94" t="s">
        <v>21</v>
      </c>
      <c r="C94" t="s">
        <v>12</v>
      </c>
      <c r="D94" s="1">
        <v>45017</v>
      </c>
      <c r="E94">
        <v>1570699</v>
      </c>
      <c r="F94">
        <v>2936326</v>
      </c>
      <c r="G94">
        <v>341</v>
      </c>
      <c r="H94" t="s">
        <v>15</v>
      </c>
      <c r="I94" t="str">
        <f>IF(
  F94="","Missing Cost",
  IF(
    OR(E94&lt;Outlier_Calculations!$E$1,E94&gt;Outlier_Calculations!$F$1),
    "Outlier Capped",
    "Clean"
  )
)</f>
        <v>Clean</v>
      </c>
      <c r="J94" s="3">
        <f>IF(
  E94 &lt; Outlier_Calculations!$E$1,
  Outlier_Calculations!$E$1,
  IF(
    E94 &gt; Outlier_Calculations!$F$1,
    Outlier_Calculations!$F$1,
    E94
  )
)</f>
        <v>1570699</v>
      </c>
    </row>
    <row r="95" spans="1:10">
      <c r="A95">
        <v>1011</v>
      </c>
      <c r="B95" t="s">
        <v>13</v>
      </c>
      <c r="C95" t="s">
        <v>12</v>
      </c>
      <c r="D95" s="1">
        <v>44957</v>
      </c>
      <c r="E95">
        <v>2849514</v>
      </c>
      <c r="F95">
        <v>2123352</v>
      </c>
      <c r="G95">
        <v>18</v>
      </c>
      <c r="H95" t="s">
        <v>10</v>
      </c>
      <c r="I95" t="str">
        <f>IF(
  F95="","Missing Cost",
  IF(
    OR(E95&lt;Outlier_Calculations!$E$1,E95&gt;Outlier_Calculations!$F$1),
    "Outlier Capped",
    "Clean"
  )
)</f>
        <v>Clean</v>
      </c>
      <c r="J95" s="3">
        <f>IF(
  E95 &lt; Outlier_Calculations!$E$1,
  Outlier_Calculations!$E$1,
  IF(
    E95 &gt; Outlier_Calculations!$F$1,
    Outlier_Calculations!$F$1,
    E95
  )
)</f>
        <v>2849514</v>
      </c>
    </row>
    <row r="96" spans="1:10">
      <c r="A96">
        <v>1005</v>
      </c>
      <c r="B96" t="s">
        <v>13</v>
      </c>
      <c r="C96" t="s">
        <v>17</v>
      </c>
      <c r="D96" s="1">
        <v>45017</v>
      </c>
      <c r="E96">
        <v>2920382</v>
      </c>
      <c r="F96">
        <v>983928</v>
      </c>
      <c r="G96">
        <v>64</v>
      </c>
      <c r="H96" t="s">
        <v>10</v>
      </c>
      <c r="I96" t="str">
        <f>IF(
  F96="","Missing Cost",
  IF(
    OR(E96&lt;Outlier_Calculations!$E$1,E96&gt;Outlier_Calculations!$F$1),
    "Outlier Capped",
    "Clean"
  )
)</f>
        <v>Clean</v>
      </c>
      <c r="J96" s="3">
        <f>IF(
  E96 &lt; Outlier_Calculations!$E$1,
  Outlier_Calculations!$E$1,
  IF(
    E96 &gt; Outlier_Calculations!$F$1,
    Outlier_Calculations!$F$1,
    E96
  )
)</f>
        <v>2920382</v>
      </c>
    </row>
    <row r="97" spans="1:10">
      <c r="A97">
        <v>1028</v>
      </c>
      <c r="B97" t="s">
        <v>8</v>
      </c>
      <c r="C97" t="s">
        <v>12</v>
      </c>
      <c r="D97" s="1">
        <v>45227</v>
      </c>
      <c r="E97">
        <v>2531702</v>
      </c>
      <c r="F97">
        <v>2655438</v>
      </c>
      <c r="G97">
        <v>368</v>
      </c>
      <c r="H97" t="s">
        <v>10</v>
      </c>
      <c r="I97" t="str">
        <f>IF(
  F97="","Missing Cost",
  IF(
    OR(E97&lt;Outlier_Calculations!$E$1,E97&gt;Outlier_Calculations!$F$1),
    "Outlier Capped",
    "Clean"
  )
)</f>
        <v>Clean</v>
      </c>
      <c r="J97" s="3">
        <f>IF(
  E97 &lt; Outlier_Calculations!$E$1,
  Outlier_Calculations!$E$1,
  IF(
    E97 &gt; Outlier_Calculations!$F$1,
    Outlier_Calculations!$F$1,
    E97
  )
)</f>
        <v>2531702</v>
      </c>
    </row>
    <row r="98" spans="1:10">
      <c r="A98">
        <v>1027</v>
      </c>
      <c r="B98" t="s">
        <v>21</v>
      </c>
      <c r="C98" t="s">
        <v>12</v>
      </c>
      <c r="D98" s="1">
        <v>44957</v>
      </c>
      <c r="E98">
        <v>1610323</v>
      </c>
      <c r="F98">
        <v>1801534</v>
      </c>
      <c r="G98">
        <v>111</v>
      </c>
      <c r="H98" t="s">
        <v>10</v>
      </c>
      <c r="I98" t="str">
        <f>IF(
  F98="","Missing Cost",
  IF(
    OR(E98&lt;Outlier_Calculations!$E$1,E98&gt;Outlier_Calculations!$F$1),
    "Outlier Capped",
    "Clean"
  )
)</f>
        <v>Clean</v>
      </c>
      <c r="J98" s="3">
        <f>IF(
  E98 &lt; Outlier_Calculations!$E$1,
  Outlier_Calculations!$E$1,
  IF(
    E98 &gt; Outlier_Calculations!$F$1,
    Outlier_Calculations!$F$1,
    E98
  )
)</f>
        <v>1610323</v>
      </c>
    </row>
    <row r="99" spans="1:10">
      <c r="A99">
        <v>1014</v>
      </c>
      <c r="B99" t="s">
        <v>13</v>
      </c>
      <c r="C99" t="s">
        <v>17</v>
      </c>
      <c r="D99" s="1">
        <v>45257</v>
      </c>
      <c r="E99">
        <v>3638043</v>
      </c>
      <c r="F99">
        <v>1260124</v>
      </c>
      <c r="G99">
        <v>14</v>
      </c>
      <c r="H99" t="s">
        <v>10</v>
      </c>
      <c r="I99" t="str">
        <f>IF(
  F99="","Missing Cost",
  IF(
    OR(E99&lt;Outlier_Calculations!$E$1,E99&gt;Outlier_Calculations!$F$1),
    "Outlier Capped",
    "Clean"
  )
)</f>
        <v>Clean</v>
      </c>
      <c r="J99" s="3">
        <f>IF(
  E99 &lt; Outlier_Calculations!$E$1,
  Outlier_Calculations!$E$1,
  IF(
    E99 &gt; Outlier_Calculations!$F$1,
    Outlier_Calculations!$F$1,
    E99
  )
)</f>
        <v>3638043</v>
      </c>
    </row>
    <row r="100" spans="1:10">
      <c r="A100">
        <v>1047</v>
      </c>
      <c r="B100" t="s">
        <v>8</v>
      </c>
      <c r="C100" t="s">
        <v>17</v>
      </c>
      <c r="D100" s="1">
        <v>45077</v>
      </c>
      <c r="E100">
        <v>-763241</v>
      </c>
      <c r="F100">
        <v>1662160</v>
      </c>
      <c r="G100">
        <v>114</v>
      </c>
      <c r="H100" t="s">
        <v>18</v>
      </c>
      <c r="I100" t="str">
        <f>IF(
  F100="","Missing Cost",
  IF(
    OR(E100&lt;Outlier_Calculations!$E$1,E100&gt;Outlier_Calculations!$F$1),
    "Outlier Capped",
    "Clean"
  )
)</f>
        <v>Clean</v>
      </c>
      <c r="J100" s="3">
        <f>IF(
  E100 &lt; Outlier_Calculations!$E$1,
  Outlier_Calculations!$E$1,
  IF(
    E100 &gt; Outlier_Calculations!$F$1,
    Outlier_Calculations!$F$1,
    E100
  )
)</f>
        <v>-763241</v>
      </c>
    </row>
    <row r="101" spans="1:10">
      <c r="A101">
        <v>1047</v>
      </c>
      <c r="B101" t="s">
        <v>11</v>
      </c>
      <c r="C101" t="s">
        <v>22</v>
      </c>
      <c r="D101" s="1">
        <v>45227</v>
      </c>
      <c r="E101">
        <v>273897</v>
      </c>
      <c r="F101">
        <v>1134328</v>
      </c>
      <c r="G101">
        <v>225</v>
      </c>
      <c r="H101" t="s">
        <v>10</v>
      </c>
      <c r="I101" t="str">
        <f>IF(
  F101="","Missing Cost",
  IF(
    OR(E101&lt;Outlier_Calculations!$E$1,E101&gt;Outlier_Calculations!$F$1),
    "Outlier Capped",
    "Clean"
  )
)</f>
        <v>Clean</v>
      </c>
      <c r="J101" s="3">
        <f>IF(
  E101 &lt; Outlier_Calculations!$E$1,
  Outlier_Calculations!$E$1,
  IF(
    E101 &gt; Outlier_Calculations!$F$1,
    Outlier_Calculations!$F$1,
    E101
  )
)</f>
        <v>273897</v>
      </c>
    </row>
    <row r="102" spans="1:10">
      <c r="A102">
        <v>1027</v>
      </c>
      <c r="B102" t="s">
        <v>16</v>
      </c>
      <c r="C102" t="s">
        <v>12</v>
      </c>
      <c r="D102" s="1">
        <v>45167</v>
      </c>
      <c r="E102">
        <v>1104424</v>
      </c>
      <c r="F102">
        <v>2447957</v>
      </c>
      <c r="G102">
        <v>418</v>
      </c>
      <c r="H102" t="s">
        <v>10</v>
      </c>
      <c r="I102" t="str">
        <f>IF(
  F102="","Missing Cost",
  IF(
    OR(E102&lt;Outlier_Calculations!$E$1,E102&gt;Outlier_Calculations!$F$1),
    "Outlier Capped",
    "Clean"
  )
)</f>
        <v>Clean</v>
      </c>
      <c r="J102" s="3">
        <f>IF(
  E102 &lt; Outlier_Calculations!$E$1,
  Outlier_Calculations!$E$1,
  IF(
    E102 &gt; Outlier_Calculations!$F$1,
    Outlier_Calculations!$F$1,
    E102
  )
)</f>
        <v>1104424</v>
      </c>
    </row>
    <row r="103" spans="1:10">
      <c r="A103">
        <v>1097</v>
      </c>
      <c r="B103" t="s">
        <v>11</v>
      </c>
      <c r="C103" t="s">
        <v>19</v>
      </c>
      <c r="D103" s="1">
        <v>44927</v>
      </c>
      <c r="E103">
        <v>264214</v>
      </c>
      <c r="F103">
        <v>322824</v>
      </c>
      <c r="G103">
        <v>310</v>
      </c>
      <c r="H103" t="s">
        <v>20</v>
      </c>
      <c r="I103" t="str">
        <f>IF(
  F103="","Missing Cost",
  IF(
    OR(E103&lt;Outlier_Calculations!$E$1,E103&gt;Outlier_Calculations!$F$1),
    "Outlier Capped",
    "Clean"
  )
)</f>
        <v>Clean</v>
      </c>
      <c r="J103" s="3">
        <f>IF(
  E103 &lt; Outlier_Calculations!$E$1,
  Outlier_Calculations!$E$1,
  IF(
    E103 &gt; Outlier_Calculations!$F$1,
    Outlier_Calculations!$F$1,
    E103
  )
)</f>
        <v>264214</v>
      </c>
    </row>
    <row r="104" spans="1:10">
      <c r="A104">
        <v>1095</v>
      </c>
      <c r="B104" t="s">
        <v>21</v>
      </c>
      <c r="C104" t="s">
        <v>17</v>
      </c>
      <c r="D104" s="1">
        <v>44987</v>
      </c>
      <c r="E104">
        <v>2338033</v>
      </c>
      <c r="F104">
        <v>3550265</v>
      </c>
      <c r="G104">
        <v>167</v>
      </c>
      <c r="H104" t="s">
        <v>10</v>
      </c>
      <c r="I104" t="str">
        <f>IF(
  F104="","Missing Cost",
  IF(
    OR(E104&lt;Outlier_Calculations!$E$1,E104&gt;Outlier_Calculations!$F$1),
    "Outlier Capped",
    "Clean"
  )
)</f>
        <v>Clean</v>
      </c>
      <c r="J104" s="3">
        <f>IF(
  E104 &lt; Outlier_Calculations!$E$1,
  Outlier_Calculations!$E$1,
  IF(
    E104 &gt; Outlier_Calculations!$F$1,
    Outlier_Calculations!$F$1,
    E104
  )
)</f>
        <v>2338033</v>
      </c>
    </row>
    <row r="105" spans="1:10">
      <c r="A105">
        <v>1033</v>
      </c>
      <c r="B105" t="s">
        <v>13</v>
      </c>
      <c r="C105" t="s">
        <v>17</v>
      </c>
      <c r="D105" s="1">
        <v>45107</v>
      </c>
      <c r="E105">
        <v>3398080</v>
      </c>
      <c r="F105">
        <v>1256332</v>
      </c>
      <c r="G105">
        <v>252</v>
      </c>
      <c r="H105" t="s">
        <v>15</v>
      </c>
      <c r="I105" t="str">
        <f>IF(
  F105="","Missing Cost",
  IF(
    OR(E105&lt;Outlier_Calculations!$E$1,E105&gt;Outlier_Calculations!$F$1),
    "Outlier Capped",
    "Clean"
  )
)</f>
        <v>Clean</v>
      </c>
      <c r="J105" s="3">
        <f>IF(
  E105 &lt; Outlier_Calculations!$E$1,
  Outlier_Calculations!$E$1,
  IF(
    E105 &gt; Outlier_Calculations!$F$1,
    Outlier_Calculations!$F$1,
    E105
  )
)</f>
        <v>3398080</v>
      </c>
    </row>
    <row r="106" spans="1:10">
      <c r="A106">
        <v>1056</v>
      </c>
      <c r="B106" t="s">
        <v>16</v>
      </c>
      <c r="C106" t="s">
        <v>17</v>
      </c>
      <c r="D106" s="1">
        <v>45257</v>
      </c>
      <c r="E106">
        <v>1717190</v>
      </c>
      <c r="F106">
        <v>84003</v>
      </c>
      <c r="G106">
        <v>426</v>
      </c>
      <c r="H106" t="s">
        <v>18</v>
      </c>
      <c r="I106" t="str">
        <f>IF(
  F106="","Missing Cost",
  IF(
    OR(E106&lt;Outlier_Calculations!$E$1,E106&gt;Outlier_Calculations!$F$1),
    "Outlier Capped",
    "Clean"
  )
)</f>
        <v>Clean</v>
      </c>
      <c r="J106" s="3">
        <f>IF(
  E106 &lt; Outlier_Calculations!$E$1,
  Outlier_Calculations!$E$1,
  IF(
    E106 &gt; Outlier_Calculations!$F$1,
    Outlier_Calculations!$F$1,
    E106
  )
)</f>
        <v>1717190</v>
      </c>
    </row>
    <row r="107" spans="1:10">
      <c r="A107">
        <v>1079</v>
      </c>
      <c r="B107" t="s">
        <v>13</v>
      </c>
      <c r="C107" t="s">
        <v>9</v>
      </c>
      <c r="D107" s="1">
        <v>44987</v>
      </c>
      <c r="E107">
        <v>4053038</v>
      </c>
      <c r="F107">
        <v>751782</v>
      </c>
      <c r="G107">
        <v>480</v>
      </c>
      <c r="H107" t="s">
        <v>18</v>
      </c>
      <c r="I107" t="str">
        <f>IF(
  F107="","Missing Cost",
  IF(
    OR(E107&lt;Outlier_Calculations!$E$1,E107&gt;Outlier_Calculations!$F$1),
    "Outlier Capped",
    "Clean"
  )
)</f>
        <v>Clean</v>
      </c>
      <c r="J107" s="3">
        <f>IF(
  E107 &lt; Outlier_Calculations!$E$1,
  Outlier_Calculations!$E$1,
  IF(
    E107 &gt; Outlier_Calculations!$F$1,
    Outlier_Calculations!$F$1,
    E107
  )
)</f>
        <v>4053038</v>
      </c>
    </row>
    <row r="108" spans="1:10">
      <c r="A108">
        <v>1050</v>
      </c>
      <c r="B108" t="s">
        <v>11</v>
      </c>
      <c r="C108" t="s">
        <v>9</v>
      </c>
      <c r="D108" s="1">
        <v>45197</v>
      </c>
      <c r="E108">
        <v>4457271</v>
      </c>
      <c r="F108">
        <v>3712395</v>
      </c>
      <c r="G108">
        <v>113</v>
      </c>
      <c r="H108" t="s">
        <v>18</v>
      </c>
      <c r="I108" t="str">
        <f>IF(
  F108="","Missing Cost",
  IF(
    OR(E108&lt;Outlier_Calculations!$E$1,E108&gt;Outlier_Calculations!$F$1),
    "Outlier Capped",
    "Clean"
  )
)</f>
        <v>Clean</v>
      </c>
      <c r="J108" s="3">
        <f>IF(
  E108 &lt; Outlier_Calculations!$E$1,
  Outlier_Calculations!$E$1,
  IF(
    E108 &gt; Outlier_Calculations!$F$1,
    Outlier_Calculations!$F$1,
    E108
  )
)</f>
        <v>4457271</v>
      </c>
    </row>
    <row r="109" spans="1:10">
      <c r="A109">
        <v>1064</v>
      </c>
      <c r="B109" t="s">
        <v>8</v>
      </c>
      <c r="C109" t="s">
        <v>9</v>
      </c>
      <c r="D109" s="1">
        <v>45107</v>
      </c>
      <c r="E109">
        <v>1337306</v>
      </c>
      <c r="F109">
        <v>3560643</v>
      </c>
      <c r="G109">
        <v>183</v>
      </c>
      <c r="H109" t="s">
        <v>15</v>
      </c>
      <c r="I109" t="str">
        <f>IF(
  F109="","Missing Cost",
  IF(
    OR(E109&lt;Outlier_Calculations!$E$1,E109&gt;Outlier_Calculations!$F$1),
    "Outlier Capped",
    "Clean"
  )
)</f>
        <v>Clean</v>
      </c>
      <c r="J109" s="3">
        <f>IF(
  E109 &lt; Outlier_Calculations!$E$1,
  Outlier_Calculations!$E$1,
  IF(
    E109 &gt; Outlier_Calculations!$F$1,
    Outlier_Calculations!$F$1,
    E109
  )
)</f>
        <v>1337306</v>
      </c>
    </row>
    <row r="110" spans="1:10">
      <c r="A110">
        <v>1084</v>
      </c>
      <c r="B110" t="s">
        <v>11</v>
      </c>
      <c r="C110" t="s">
        <v>14</v>
      </c>
      <c r="D110" s="1">
        <v>44927</v>
      </c>
      <c r="E110">
        <v>887130</v>
      </c>
      <c r="F110">
        <v>392311</v>
      </c>
      <c r="G110">
        <v>201</v>
      </c>
      <c r="H110" t="s">
        <v>18</v>
      </c>
      <c r="I110" t="str">
        <f>IF(
  F110="","Missing Cost",
  IF(
    OR(E110&lt;Outlier_Calculations!$E$1,E110&gt;Outlier_Calculations!$F$1),
    "Outlier Capped",
    "Clean"
  )
)</f>
        <v>Clean</v>
      </c>
      <c r="J110" s="3">
        <f>IF(
  E110 &lt; Outlier_Calculations!$E$1,
  Outlier_Calculations!$E$1,
  IF(
    E110 &gt; Outlier_Calculations!$F$1,
    Outlier_Calculations!$F$1,
    E110
  )
)</f>
        <v>887130</v>
      </c>
    </row>
    <row r="111" spans="1:10">
      <c r="A111">
        <v>1058</v>
      </c>
      <c r="B111" t="s">
        <v>13</v>
      </c>
      <c r="C111" t="s">
        <v>19</v>
      </c>
      <c r="D111" s="1">
        <v>44957</v>
      </c>
      <c r="E111">
        <v>2496419</v>
      </c>
      <c r="F111">
        <v>1298326</v>
      </c>
      <c r="G111">
        <v>422</v>
      </c>
      <c r="H111" t="s">
        <v>18</v>
      </c>
      <c r="I111" t="str">
        <f>IF(
  F111="","Missing Cost",
  IF(
    OR(E111&lt;Outlier_Calculations!$E$1,E111&gt;Outlier_Calculations!$F$1),
    "Outlier Capped",
    "Clean"
  )
)</f>
        <v>Clean</v>
      </c>
      <c r="J111" s="3">
        <f>IF(
  E111 &lt; Outlier_Calculations!$E$1,
  Outlier_Calculations!$E$1,
  IF(
    E111 &gt; Outlier_Calculations!$F$1,
    Outlier_Calculations!$F$1,
    E111
  )
)</f>
        <v>2496419</v>
      </c>
    </row>
    <row r="112" spans="1:10">
      <c r="A112">
        <v>1076</v>
      </c>
      <c r="B112" t="s">
        <v>8</v>
      </c>
      <c r="C112" t="s">
        <v>9</v>
      </c>
      <c r="D112" s="1">
        <v>45227</v>
      </c>
      <c r="E112">
        <v>2466706</v>
      </c>
      <c r="F112">
        <v>3665566</v>
      </c>
      <c r="G112">
        <v>347</v>
      </c>
      <c r="H112" t="s">
        <v>15</v>
      </c>
      <c r="I112" t="str">
        <f>IF(
  F112="","Missing Cost",
  IF(
    OR(E112&lt;Outlier_Calculations!$E$1,E112&gt;Outlier_Calculations!$F$1),
    "Outlier Capped",
    "Clean"
  )
)</f>
        <v>Clean</v>
      </c>
      <c r="J112" s="3">
        <f>IF(
  E112 &lt; Outlier_Calculations!$E$1,
  Outlier_Calculations!$E$1,
  IF(
    E112 &gt; Outlier_Calculations!$F$1,
    Outlier_Calculations!$F$1,
    E112
  )
)</f>
        <v>2466706</v>
      </c>
    </row>
    <row r="113" spans="1:10">
      <c r="A113">
        <v>1091</v>
      </c>
      <c r="B113" t="s">
        <v>21</v>
      </c>
      <c r="C113" t="s">
        <v>17</v>
      </c>
      <c r="D113" s="1">
        <v>44987</v>
      </c>
      <c r="E113">
        <v>2254567</v>
      </c>
      <c r="F113">
        <v>3171777</v>
      </c>
      <c r="G113">
        <v>455</v>
      </c>
      <c r="H113" t="s">
        <v>10</v>
      </c>
      <c r="I113" t="str">
        <f>IF(
  F113="","Missing Cost",
  IF(
    OR(E113&lt;Outlier_Calculations!$E$1,E113&gt;Outlier_Calculations!$F$1),
    "Outlier Capped",
    "Clean"
  )
)</f>
        <v>Clean</v>
      </c>
      <c r="J113" s="3">
        <f>IF(
  E113 &lt; Outlier_Calculations!$E$1,
  Outlier_Calculations!$E$1,
  IF(
    E113 &gt; Outlier_Calculations!$F$1,
    Outlier_Calculations!$F$1,
    E113
  )
)</f>
        <v>2254567</v>
      </c>
    </row>
    <row r="114" spans="1:10">
      <c r="A114">
        <v>1037</v>
      </c>
      <c r="B114" t="s">
        <v>11</v>
      </c>
      <c r="C114" t="s">
        <v>9</v>
      </c>
      <c r="D114" s="1">
        <v>45137</v>
      </c>
      <c r="E114">
        <v>3601385</v>
      </c>
      <c r="F114">
        <v>2870675</v>
      </c>
      <c r="G114">
        <v>37</v>
      </c>
      <c r="H114" t="s">
        <v>10</v>
      </c>
      <c r="I114" t="str">
        <f>IF(
  F114="","Missing Cost",
  IF(
    OR(E114&lt;Outlier_Calculations!$E$1,E114&gt;Outlier_Calculations!$F$1),
    "Outlier Capped",
    "Clean"
  )
)</f>
        <v>Clean</v>
      </c>
      <c r="J114" s="3">
        <f>IF(
  E114 &lt; Outlier_Calculations!$E$1,
  Outlier_Calculations!$E$1,
  IF(
    E114 &gt; Outlier_Calculations!$F$1,
    Outlier_Calculations!$F$1,
    E114
  )
)</f>
        <v>3601385</v>
      </c>
    </row>
    <row r="115" spans="1:10">
      <c r="A115">
        <v>1099</v>
      </c>
      <c r="B115" t="s">
        <v>16</v>
      </c>
      <c r="C115" t="s">
        <v>17</v>
      </c>
      <c r="D115" s="1">
        <v>45077</v>
      </c>
      <c r="E115">
        <v>3889782</v>
      </c>
      <c r="F115">
        <v>3099177</v>
      </c>
      <c r="G115">
        <v>392</v>
      </c>
      <c r="H115" t="s">
        <v>10</v>
      </c>
      <c r="I115" t="str">
        <f>IF(
  F115="","Missing Cost",
  IF(
    OR(E115&lt;Outlier_Calculations!$E$1,E115&gt;Outlier_Calculations!$F$1),
    "Outlier Capped",
    "Clean"
  )
)</f>
        <v>Clean</v>
      </c>
      <c r="J115" s="3">
        <f>IF(
  E115 &lt; Outlier_Calculations!$E$1,
  Outlier_Calculations!$E$1,
  IF(
    E115 &gt; Outlier_Calculations!$F$1,
    Outlier_Calculations!$F$1,
    E115
  )
)</f>
        <v>3889782</v>
      </c>
    </row>
    <row r="116" spans="1:10">
      <c r="A116">
        <v>1062</v>
      </c>
      <c r="B116" t="s">
        <v>13</v>
      </c>
      <c r="C116" t="s">
        <v>9</v>
      </c>
      <c r="D116" s="1">
        <v>45077</v>
      </c>
      <c r="E116">
        <v>1015918</v>
      </c>
      <c r="F116">
        <v>2212125</v>
      </c>
      <c r="G116">
        <v>280</v>
      </c>
      <c r="H116" t="s">
        <v>10</v>
      </c>
      <c r="I116" t="str">
        <f>IF(
  F116="","Missing Cost",
  IF(
    OR(E116&lt;Outlier_Calculations!$E$1,E116&gt;Outlier_Calculations!$F$1),
    "Outlier Capped",
    "Clean"
  )
)</f>
        <v>Clean</v>
      </c>
      <c r="J116" s="3">
        <f>IF(
  E116 &lt; Outlier_Calculations!$E$1,
  Outlier_Calculations!$E$1,
  IF(
    E116 &gt; Outlier_Calculations!$F$1,
    Outlier_Calculations!$F$1,
    E116
  )
)</f>
        <v>1015918</v>
      </c>
    </row>
    <row r="117" spans="1:10">
      <c r="A117">
        <v>1004</v>
      </c>
      <c r="B117" t="s">
        <v>16</v>
      </c>
      <c r="C117" t="s">
        <v>19</v>
      </c>
      <c r="D117" s="1">
        <v>45167</v>
      </c>
      <c r="E117">
        <v>4570684</v>
      </c>
      <c r="F117">
        <v>3995906</v>
      </c>
      <c r="G117">
        <v>64</v>
      </c>
      <c r="H117" t="s">
        <v>10</v>
      </c>
      <c r="I117" t="str">
        <f>IF(
  F117="","Missing Cost",
  IF(
    OR(E117&lt;Outlier_Calculations!$E$1,E117&gt;Outlier_Calculations!$F$1),
    "Outlier Capped",
    "Clean"
  )
)</f>
        <v>Clean</v>
      </c>
      <c r="J117" s="3">
        <f>IF(
  E117 &lt; Outlier_Calculations!$E$1,
  Outlier_Calculations!$E$1,
  IF(
    E117 &gt; Outlier_Calculations!$F$1,
    Outlier_Calculations!$F$1,
    E117
  )
)</f>
        <v>4570684</v>
      </c>
    </row>
    <row r="118" spans="1:10">
      <c r="A118">
        <v>1034</v>
      </c>
      <c r="B118" t="s">
        <v>11</v>
      </c>
      <c r="C118" t="s">
        <v>14</v>
      </c>
      <c r="D118" s="1">
        <v>45077</v>
      </c>
      <c r="E118">
        <v>1437700</v>
      </c>
      <c r="F118">
        <v>623617</v>
      </c>
      <c r="G118">
        <v>373</v>
      </c>
      <c r="H118" t="s">
        <v>10</v>
      </c>
      <c r="I118" t="str">
        <f>IF(
  F118="","Missing Cost",
  IF(
    OR(E118&lt;Outlier_Calculations!$E$1,E118&gt;Outlier_Calculations!$F$1),
    "Outlier Capped",
    "Clean"
  )
)</f>
        <v>Clean</v>
      </c>
      <c r="J118" s="3">
        <f>IF(
  E118 &lt; Outlier_Calculations!$E$1,
  Outlier_Calculations!$E$1,
  IF(
    E118 &gt; Outlier_Calculations!$F$1,
    Outlier_Calculations!$F$1,
    E118
  )
)</f>
        <v>1437700</v>
      </c>
    </row>
    <row r="119" spans="1:10">
      <c r="A119">
        <v>1018</v>
      </c>
      <c r="B119" t="s">
        <v>13</v>
      </c>
      <c r="C119" t="s">
        <v>9</v>
      </c>
      <c r="D119" s="1">
        <v>45257</v>
      </c>
      <c r="E119">
        <v>2275245</v>
      </c>
      <c r="F119">
        <v>3921598</v>
      </c>
      <c r="G119">
        <v>283</v>
      </c>
      <c r="H119" t="s">
        <v>18</v>
      </c>
      <c r="I119" t="str">
        <f>IF(
  F119="","Missing Cost",
  IF(
    OR(E119&lt;Outlier_Calculations!$E$1,E119&gt;Outlier_Calculations!$F$1),
    "Outlier Capped",
    "Clean"
  )
)</f>
        <v>Clean</v>
      </c>
      <c r="J119" s="3">
        <f>IF(
  E119 &lt; Outlier_Calculations!$E$1,
  Outlier_Calculations!$E$1,
  IF(
    E119 &gt; Outlier_Calculations!$F$1,
    Outlier_Calculations!$F$1,
    E119
  )
)</f>
        <v>2275245</v>
      </c>
    </row>
    <row r="120" spans="1:10">
      <c r="A120">
        <v>1100</v>
      </c>
      <c r="B120" t="s">
        <v>13</v>
      </c>
      <c r="C120" t="s">
        <v>12</v>
      </c>
      <c r="D120" s="1">
        <v>45197</v>
      </c>
      <c r="E120">
        <v>1456341</v>
      </c>
      <c r="F120">
        <v>709646</v>
      </c>
      <c r="G120">
        <v>451</v>
      </c>
      <c r="H120" t="s">
        <v>10</v>
      </c>
      <c r="I120" t="str">
        <f>IF(
  F120="","Missing Cost",
  IF(
    OR(E120&lt;Outlier_Calculations!$E$1,E120&gt;Outlier_Calculations!$F$1),
    "Outlier Capped",
    "Clean"
  )
)</f>
        <v>Clean</v>
      </c>
      <c r="J120" s="3">
        <f>IF(
  E120 &lt; Outlier_Calculations!$E$1,
  Outlier_Calculations!$E$1,
  IF(
    E120 &gt; Outlier_Calculations!$F$1,
    Outlier_Calculations!$F$1,
    E120
  )
)</f>
        <v>1456341</v>
      </c>
    </row>
    <row r="121" spans="1:10">
      <c r="A121">
        <v>1086</v>
      </c>
      <c r="B121" t="s">
        <v>8</v>
      </c>
      <c r="C121" t="s">
        <v>14</v>
      </c>
      <c r="D121" s="1">
        <v>45197</v>
      </c>
      <c r="E121">
        <v>1560321</v>
      </c>
      <c r="F121">
        <v>1929177</v>
      </c>
      <c r="G121">
        <v>455</v>
      </c>
      <c r="H121" t="s">
        <v>15</v>
      </c>
      <c r="I121" t="str">
        <f>IF(
  F121="","Missing Cost",
  IF(
    OR(E121&lt;Outlier_Calculations!$E$1,E121&gt;Outlier_Calculations!$F$1),
    "Outlier Capped",
    "Clean"
  )
)</f>
        <v>Clean</v>
      </c>
      <c r="J121" s="3">
        <f>IF(
  E121 &lt; Outlier_Calculations!$E$1,
  Outlier_Calculations!$E$1,
  IF(
    E121 &gt; Outlier_Calculations!$F$1,
    Outlier_Calculations!$F$1,
    E121
  )
)</f>
        <v>1560321</v>
      </c>
    </row>
    <row r="122" spans="1:10">
      <c r="A122">
        <v>1051</v>
      </c>
      <c r="B122" t="s">
        <v>16</v>
      </c>
      <c r="C122" t="s">
        <v>9</v>
      </c>
      <c r="D122" s="1">
        <v>44927</v>
      </c>
      <c r="E122">
        <v>3254326</v>
      </c>
      <c r="F122">
        <v>2885628</v>
      </c>
      <c r="G122">
        <v>70</v>
      </c>
      <c r="H122" t="s">
        <v>18</v>
      </c>
      <c r="I122" t="str">
        <f>IF(
  F122="","Missing Cost",
  IF(
    OR(E122&lt;Outlier_Calculations!$E$1,E122&gt;Outlier_Calculations!$F$1),
    "Outlier Capped",
    "Clean"
  )
)</f>
        <v>Clean</v>
      </c>
      <c r="J122" s="3">
        <f>IF(
  E122 &lt; Outlier_Calculations!$E$1,
  Outlier_Calculations!$E$1,
  IF(
    E122 &gt; Outlier_Calculations!$F$1,
    Outlier_Calculations!$F$1,
    E122
  )
)</f>
        <v>3254326</v>
      </c>
    </row>
    <row r="123" spans="1:10">
      <c r="A123">
        <v>1077</v>
      </c>
      <c r="B123" t="s">
        <v>11</v>
      </c>
      <c r="C123" t="s">
        <v>19</v>
      </c>
      <c r="D123" s="1">
        <v>44957</v>
      </c>
      <c r="E123">
        <v>3089797</v>
      </c>
      <c r="F123">
        <v>2683149</v>
      </c>
      <c r="G123">
        <v>200</v>
      </c>
      <c r="H123" t="s">
        <v>15</v>
      </c>
      <c r="I123" t="str">
        <f>IF(
  F123="","Missing Cost",
  IF(
    OR(E123&lt;Outlier_Calculations!$E$1,E123&gt;Outlier_Calculations!$F$1),
    "Outlier Capped",
    "Clean"
  )
)</f>
        <v>Clean</v>
      </c>
      <c r="J123" s="3">
        <f>IF(
  E123 &lt; Outlier_Calculations!$E$1,
  Outlier_Calculations!$E$1,
  IF(
    E123 &gt; Outlier_Calculations!$F$1,
    Outlier_Calculations!$F$1,
    E123
  )
)</f>
        <v>3089797</v>
      </c>
    </row>
    <row r="124" spans="1:10">
      <c r="A124">
        <v>1035</v>
      </c>
      <c r="B124" t="s">
        <v>16</v>
      </c>
      <c r="C124" t="s">
        <v>19</v>
      </c>
      <c r="D124" s="1">
        <v>45077</v>
      </c>
      <c r="E124">
        <v>4936172</v>
      </c>
      <c r="F124">
        <v>3065599</v>
      </c>
      <c r="G124">
        <v>426</v>
      </c>
      <c r="H124" t="s">
        <v>20</v>
      </c>
      <c r="I124" t="str">
        <f>IF(
  F124="","Missing Cost",
  IF(
    OR(E124&lt;Outlier_Calculations!$E$1,E124&gt;Outlier_Calculations!$F$1),
    "Outlier Capped",
    "Clean"
  )
)</f>
        <v>Clean</v>
      </c>
      <c r="J124" s="3">
        <f>IF(
  E124 &lt; Outlier_Calculations!$E$1,
  Outlier_Calculations!$E$1,
  IF(
    E124 &gt; Outlier_Calculations!$F$1,
    Outlier_Calculations!$F$1,
    E124
  )
)</f>
        <v>4936172</v>
      </c>
    </row>
    <row r="125" spans="1:10">
      <c r="A125">
        <v>1080</v>
      </c>
      <c r="B125" t="s">
        <v>16</v>
      </c>
      <c r="C125" t="s">
        <v>14</v>
      </c>
      <c r="D125" s="1">
        <v>45077</v>
      </c>
      <c r="E125">
        <v>4989593</v>
      </c>
      <c r="F125">
        <v>2200372</v>
      </c>
      <c r="G125">
        <v>118</v>
      </c>
      <c r="H125" t="s">
        <v>20</v>
      </c>
      <c r="I125" t="str">
        <f>IF(
  F125="","Missing Cost",
  IF(
    OR(E125&lt;Outlier_Calculations!$E$1,E125&gt;Outlier_Calculations!$F$1),
    "Outlier Capped",
    "Clean"
  )
)</f>
        <v>Clean</v>
      </c>
      <c r="J125" s="3">
        <f>IF(
  E125 &lt; Outlier_Calculations!$E$1,
  Outlier_Calculations!$E$1,
  IF(
    E125 &gt; Outlier_Calculations!$F$1,
    Outlier_Calculations!$F$1,
    E125
  )
)</f>
        <v>4989593</v>
      </c>
    </row>
    <row r="126" spans="1:10">
      <c r="A126">
        <v>1062</v>
      </c>
      <c r="B126" t="s">
        <v>11</v>
      </c>
      <c r="C126" t="s">
        <v>22</v>
      </c>
      <c r="D126" s="1">
        <v>45047</v>
      </c>
      <c r="E126">
        <v>2930206</v>
      </c>
      <c r="F126">
        <v>2679619</v>
      </c>
      <c r="G126">
        <v>460</v>
      </c>
      <c r="H126" t="s">
        <v>18</v>
      </c>
      <c r="I126" t="str">
        <f>IF(
  F126="","Missing Cost",
  IF(
    OR(E126&lt;Outlier_Calculations!$E$1,E126&gt;Outlier_Calculations!$F$1),
    "Outlier Capped",
    "Clean"
  )
)</f>
        <v>Clean</v>
      </c>
      <c r="J126" s="3">
        <f>IF(
  E126 &lt; Outlier_Calculations!$E$1,
  Outlier_Calculations!$E$1,
  IF(
    E126 &gt; Outlier_Calculations!$F$1,
    Outlier_Calculations!$F$1,
    E126
  )
)</f>
        <v>2930206</v>
      </c>
    </row>
    <row r="127" spans="1:10">
      <c r="A127">
        <v>1094</v>
      </c>
      <c r="B127" t="s">
        <v>8</v>
      </c>
      <c r="C127" t="s">
        <v>14</v>
      </c>
      <c r="D127" s="1">
        <v>45107</v>
      </c>
      <c r="E127">
        <v>4737011</v>
      </c>
      <c r="F127">
        <v>917828</v>
      </c>
      <c r="G127">
        <v>146</v>
      </c>
      <c r="H127" t="s">
        <v>10</v>
      </c>
      <c r="I127" t="str">
        <f>IF(
  F127="","Missing Cost",
  IF(
    OR(E127&lt;Outlier_Calculations!$E$1,E127&gt;Outlier_Calculations!$F$1),
    "Outlier Capped",
    "Clean"
  )
)</f>
        <v>Clean</v>
      </c>
      <c r="J127" s="3">
        <f>IF(
  E127 &lt; Outlier_Calculations!$E$1,
  Outlier_Calculations!$E$1,
  IF(
    E127 &gt; Outlier_Calculations!$F$1,
    Outlier_Calculations!$F$1,
    E127
  )
)</f>
        <v>4737011</v>
      </c>
    </row>
    <row r="128" spans="1:10">
      <c r="A128">
        <v>1031</v>
      </c>
      <c r="B128" t="s">
        <v>8</v>
      </c>
      <c r="C128" t="s">
        <v>9</v>
      </c>
      <c r="D128" s="1">
        <v>45017</v>
      </c>
      <c r="E128">
        <v>71480</v>
      </c>
      <c r="F128">
        <v>1066314</v>
      </c>
      <c r="G128">
        <v>109</v>
      </c>
      <c r="H128" t="s">
        <v>18</v>
      </c>
      <c r="I128" t="str">
        <f>IF(
  F128="","Missing Cost",
  IF(
    OR(E128&lt;Outlier_Calculations!$E$1,E128&gt;Outlier_Calculations!$F$1),
    "Outlier Capped",
    "Clean"
  )
)</f>
        <v>Clean</v>
      </c>
      <c r="J128" s="3">
        <f>IF(
  E128 &lt; Outlier_Calculations!$E$1,
  Outlier_Calculations!$E$1,
  IF(
    E128 &gt; Outlier_Calculations!$F$1,
    Outlier_Calculations!$F$1,
    E128
  )
)</f>
        <v>71480</v>
      </c>
    </row>
    <row r="129" spans="1:10">
      <c r="A129">
        <v>1011</v>
      </c>
      <c r="B129" t="s">
        <v>11</v>
      </c>
      <c r="C129" t="s">
        <v>12</v>
      </c>
      <c r="D129" s="1">
        <v>45167</v>
      </c>
      <c r="E129">
        <v>2431615</v>
      </c>
      <c r="F129">
        <v>3579690</v>
      </c>
      <c r="G129">
        <v>52</v>
      </c>
      <c r="H129" t="s">
        <v>15</v>
      </c>
      <c r="I129" t="str">
        <f>IF(
  F129="","Missing Cost",
  IF(
    OR(E129&lt;Outlier_Calculations!$E$1,E129&gt;Outlier_Calculations!$F$1),
    "Outlier Capped",
    "Clean"
  )
)</f>
        <v>Clean</v>
      </c>
      <c r="J129" s="3">
        <f>IF(
  E129 &lt; Outlier_Calculations!$E$1,
  Outlier_Calculations!$E$1,
  IF(
    E129 &gt; Outlier_Calculations!$F$1,
    Outlier_Calculations!$F$1,
    E129
  )
)</f>
        <v>2431615</v>
      </c>
    </row>
    <row r="130" spans="1:10">
      <c r="A130">
        <v>1083</v>
      </c>
      <c r="B130" t="s">
        <v>8</v>
      </c>
      <c r="C130" t="s">
        <v>14</v>
      </c>
      <c r="D130" s="1">
        <v>45167</v>
      </c>
      <c r="E130">
        <v>2865495</v>
      </c>
      <c r="F130">
        <v>3951349</v>
      </c>
      <c r="G130">
        <v>63</v>
      </c>
      <c r="H130" t="s">
        <v>15</v>
      </c>
      <c r="I130" t="str">
        <f>IF(
  F130="","Missing Cost",
  IF(
    OR(E130&lt;Outlier_Calculations!$E$1,E130&gt;Outlier_Calculations!$F$1),
    "Outlier Capped",
    "Clean"
  )
)</f>
        <v>Clean</v>
      </c>
      <c r="J130" s="3">
        <f>IF(
  E130 &lt; Outlier_Calculations!$E$1,
  Outlier_Calculations!$E$1,
  IF(
    E130 &gt; Outlier_Calculations!$F$1,
    Outlier_Calculations!$F$1,
    E130
  )
)</f>
        <v>2865495</v>
      </c>
    </row>
    <row r="131" spans="1:10">
      <c r="A131">
        <v>1024</v>
      </c>
      <c r="B131" t="s">
        <v>21</v>
      </c>
      <c r="C131" t="s">
        <v>12</v>
      </c>
      <c r="D131" s="1">
        <v>45227</v>
      </c>
      <c r="E131">
        <v>1352096</v>
      </c>
      <c r="F131">
        <v>958994</v>
      </c>
      <c r="G131">
        <v>146</v>
      </c>
      <c r="H131" t="s">
        <v>10</v>
      </c>
      <c r="I131" t="str">
        <f>IF(
  F131="","Missing Cost",
  IF(
    OR(E131&lt;Outlier_Calculations!$E$1,E131&gt;Outlier_Calculations!$F$1),
    "Outlier Capped",
    "Clean"
  )
)</f>
        <v>Clean</v>
      </c>
      <c r="J131" s="3">
        <f>IF(
  E131 &lt; Outlier_Calculations!$E$1,
  Outlier_Calculations!$E$1,
  IF(
    E131 &gt; Outlier_Calculations!$F$1,
    Outlier_Calculations!$F$1,
    E131
  )
)</f>
        <v>1352096</v>
      </c>
    </row>
    <row r="132" spans="1:10">
      <c r="A132">
        <v>1076</v>
      </c>
      <c r="B132" t="s">
        <v>21</v>
      </c>
      <c r="C132" t="s">
        <v>14</v>
      </c>
      <c r="D132" s="1">
        <v>45197</v>
      </c>
      <c r="E132">
        <v>3852893</v>
      </c>
      <c r="F132">
        <v>208506</v>
      </c>
      <c r="G132">
        <v>345</v>
      </c>
      <c r="H132" t="s">
        <v>20</v>
      </c>
      <c r="I132" t="str">
        <f>IF(
  F132="","Missing Cost",
  IF(
    OR(E132&lt;Outlier_Calculations!$E$1,E132&gt;Outlier_Calculations!$F$1),
    "Outlier Capped",
    "Clean"
  )
)</f>
        <v>Clean</v>
      </c>
      <c r="J132" s="3">
        <f>IF(
  E132 &lt; Outlier_Calculations!$E$1,
  Outlier_Calculations!$E$1,
  IF(
    E132 &gt; Outlier_Calculations!$F$1,
    Outlier_Calculations!$F$1,
    E132
  )
)</f>
        <v>3852893</v>
      </c>
    </row>
    <row r="133" spans="1:10">
      <c r="A133">
        <v>1049</v>
      </c>
      <c r="B133" t="s">
        <v>21</v>
      </c>
      <c r="C133" t="s">
        <v>14</v>
      </c>
      <c r="D133" s="1">
        <v>45077</v>
      </c>
      <c r="E133">
        <v>-3574953</v>
      </c>
      <c r="F133">
        <v>2523921</v>
      </c>
      <c r="G133">
        <v>101</v>
      </c>
      <c r="H133" t="s">
        <v>10</v>
      </c>
      <c r="I133" t="str">
        <f>IF(
  F133="","Missing Cost",
  IF(
    OR(E133&lt;Outlier_Calculations!$E$1,E133&gt;Outlier_Calculations!$F$1),
    "Outlier Capped",
    "Clean"
  )
)</f>
        <v>Outlier Capped</v>
      </c>
      <c r="J133" s="3">
        <f>IF(
  E133 &lt; Outlier_Calculations!$E$1,
  Outlier_Calculations!$E$1,
  IF(
    E133 &gt; Outlier_Calculations!$F$1,
    Outlier_Calculations!$F$1,
    E133
  )
)</f>
        <v>-1939863.625</v>
      </c>
    </row>
    <row r="134" spans="1:10">
      <c r="A134">
        <v>1096</v>
      </c>
      <c r="B134" t="s">
        <v>21</v>
      </c>
      <c r="C134" t="s">
        <v>19</v>
      </c>
      <c r="D134" s="1">
        <v>45137</v>
      </c>
      <c r="E134">
        <v>4728915</v>
      </c>
      <c r="F134">
        <v>2047108</v>
      </c>
      <c r="G134">
        <v>117</v>
      </c>
      <c r="H134" t="s">
        <v>20</v>
      </c>
      <c r="I134" t="str">
        <f>IF(
  F134="","Missing Cost",
  IF(
    OR(E134&lt;Outlier_Calculations!$E$1,E134&gt;Outlier_Calculations!$F$1),
    "Outlier Capped",
    "Clean"
  )
)</f>
        <v>Clean</v>
      </c>
      <c r="J134" s="3">
        <f>IF(
  E134 &lt; Outlier_Calculations!$E$1,
  Outlier_Calculations!$E$1,
  IF(
    E134 &gt; Outlier_Calculations!$F$1,
    Outlier_Calculations!$F$1,
    E134
  )
)</f>
        <v>4728915</v>
      </c>
    </row>
    <row r="135" spans="1:10">
      <c r="A135">
        <v>1030</v>
      </c>
      <c r="B135" t="s">
        <v>8</v>
      </c>
      <c r="C135" t="s">
        <v>19</v>
      </c>
      <c r="D135" s="1">
        <v>45227</v>
      </c>
      <c r="E135">
        <v>1254081</v>
      </c>
      <c r="F135">
        <v>2630791</v>
      </c>
      <c r="G135">
        <v>484</v>
      </c>
      <c r="H135" t="s">
        <v>15</v>
      </c>
      <c r="I135" t="str">
        <f>IF(
  F135="","Missing Cost",
  IF(
    OR(E135&lt;Outlier_Calculations!$E$1,E135&gt;Outlier_Calculations!$F$1),
    "Outlier Capped",
    "Clean"
  )
)</f>
        <v>Clean</v>
      </c>
      <c r="J135" s="3">
        <f>IF(
  E135 &lt; Outlier_Calculations!$E$1,
  Outlier_Calculations!$E$1,
  IF(
    E135 &gt; Outlier_Calculations!$F$1,
    Outlier_Calculations!$F$1,
    E135
  )
)</f>
        <v>1254081</v>
      </c>
    </row>
    <row r="136" spans="1:10">
      <c r="A136">
        <v>1047</v>
      </c>
      <c r="B136" t="s">
        <v>8</v>
      </c>
      <c r="C136" t="s">
        <v>17</v>
      </c>
      <c r="D136" s="1">
        <v>45167</v>
      </c>
      <c r="E136">
        <v>48388340</v>
      </c>
      <c r="F136">
        <v>1064629</v>
      </c>
      <c r="G136">
        <v>238</v>
      </c>
      <c r="H136" t="s">
        <v>20</v>
      </c>
      <c r="I136" t="str">
        <f>IF(
  F136="","Missing Cost",
  IF(
    OR(E136&lt;Outlier_Calculations!$E$1,E136&gt;Outlier_Calculations!$F$1),
    "Outlier Capped",
    "Clean"
  )
)</f>
        <v>Outlier Capped</v>
      </c>
      <c r="J136" s="3">
        <f>IF(
  E136 &lt; Outlier_Calculations!$E$1,
  Outlier_Calculations!$E$1,
  IF(
    E136 &gt; Outlier_Calculations!$F$1,
    Outlier_Calculations!$F$1,
    E136
  )
)</f>
        <v>5762979.375</v>
      </c>
    </row>
    <row r="137" spans="1:10">
      <c r="A137">
        <v>1033</v>
      </c>
      <c r="B137" t="s">
        <v>11</v>
      </c>
      <c r="C137" t="s">
        <v>12</v>
      </c>
      <c r="D137" s="1">
        <v>45257</v>
      </c>
      <c r="E137">
        <v>434890</v>
      </c>
      <c r="F137">
        <v>1225921</v>
      </c>
      <c r="G137">
        <v>256</v>
      </c>
      <c r="H137" t="s">
        <v>20</v>
      </c>
      <c r="I137" t="str">
        <f>IF(
  F137="","Missing Cost",
  IF(
    OR(E137&lt;Outlier_Calculations!$E$1,E137&gt;Outlier_Calculations!$F$1),
    "Outlier Capped",
    "Clean"
  )
)</f>
        <v>Clean</v>
      </c>
      <c r="J137" s="3">
        <f>IF(
  E137 &lt; Outlier_Calculations!$E$1,
  Outlier_Calculations!$E$1,
  IF(
    E137 &gt; Outlier_Calculations!$F$1,
    Outlier_Calculations!$F$1,
    E137
  )
)</f>
        <v>434890</v>
      </c>
    </row>
    <row r="138" spans="1:10">
      <c r="A138">
        <v>1012</v>
      </c>
      <c r="B138" t="s">
        <v>11</v>
      </c>
      <c r="C138" t="s">
        <v>9</v>
      </c>
      <c r="D138" s="1">
        <v>44987</v>
      </c>
      <c r="E138">
        <v>2909171</v>
      </c>
      <c r="F138">
        <v>2053158</v>
      </c>
      <c r="G138">
        <v>425</v>
      </c>
      <c r="H138" t="s">
        <v>10</v>
      </c>
      <c r="I138" t="str">
        <f>IF(
  F138="","Missing Cost",
  IF(
    OR(E138&lt;Outlier_Calculations!$E$1,E138&gt;Outlier_Calculations!$F$1),
    "Outlier Capped",
    "Clean"
  )
)</f>
        <v>Clean</v>
      </c>
      <c r="J138" s="3">
        <f>IF(
  E138 &lt; Outlier_Calculations!$E$1,
  Outlier_Calculations!$E$1,
  IF(
    E138 &gt; Outlier_Calculations!$F$1,
    Outlier_Calculations!$F$1,
    E138
  )
)</f>
        <v>2909171</v>
      </c>
    </row>
    <row r="139" spans="1:10">
      <c r="A139">
        <v>1036</v>
      </c>
      <c r="B139" t="s">
        <v>11</v>
      </c>
      <c r="C139" t="s">
        <v>9</v>
      </c>
      <c r="D139" s="1">
        <v>45077</v>
      </c>
      <c r="E139">
        <v>3317513</v>
      </c>
      <c r="F139">
        <v>45481</v>
      </c>
      <c r="G139">
        <v>265</v>
      </c>
      <c r="H139" t="s">
        <v>18</v>
      </c>
      <c r="I139" t="str">
        <f>IF(
  F139="","Missing Cost",
  IF(
    OR(E139&lt;Outlier_Calculations!$E$1,E139&gt;Outlier_Calculations!$F$1),
    "Outlier Capped",
    "Clean"
  )
)</f>
        <v>Clean</v>
      </c>
      <c r="J139" s="3">
        <f>IF(
  E139 &lt; Outlier_Calculations!$E$1,
  Outlier_Calculations!$E$1,
  IF(
    E139 &gt; Outlier_Calculations!$F$1,
    Outlier_Calculations!$F$1,
    E139
  )
)</f>
        <v>3317513</v>
      </c>
    </row>
    <row r="140" spans="1:10">
      <c r="A140">
        <v>1042</v>
      </c>
      <c r="B140" t="s">
        <v>8</v>
      </c>
      <c r="C140" t="s">
        <v>12</v>
      </c>
      <c r="D140" s="1">
        <v>45017</v>
      </c>
      <c r="E140">
        <v>2329160</v>
      </c>
      <c r="F140">
        <v>1186788</v>
      </c>
      <c r="G140">
        <v>45</v>
      </c>
      <c r="H140" t="s">
        <v>10</v>
      </c>
      <c r="I140" t="str">
        <f>IF(
  F140="","Missing Cost",
  IF(
    OR(E140&lt;Outlier_Calculations!$E$1,E140&gt;Outlier_Calculations!$F$1),
    "Outlier Capped",
    "Clean"
  )
)</f>
        <v>Clean</v>
      </c>
      <c r="J140" s="3">
        <f>IF(
  E140 &lt; Outlier_Calculations!$E$1,
  Outlier_Calculations!$E$1,
  IF(
    E140 &gt; Outlier_Calculations!$F$1,
    Outlier_Calculations!$F$1,
    E140
  )
)</f>
        <v>2329160</v>
      </c>
    </row>
    <row r="141" spans="1:10">
      <c r="A141">
        <v>1013</v>
      </c>
      <c r="B141" t="s">
        <v>13</v>
      </c>
      <c r="C141" t="s">
        <v>14</v>
      </c>
      <c r="D141" s="1">
        <v>45227</v>
      </c>
      <c r="E141">
        <v>540589</v>
      </c>
      <c r="F141">
        <v>1528912</v>
      </c>
      <c r="G141">
        <v>73</v>
      </c>
      <c r="H141" t="s">
        <v>18</v>
      </c>
      <c r="I141" t="str">
        <f>IF(
  F141="","Missing Cost",
  IF(
    OR(E141&lt;Outlier_Calculations!$E$1,E141&gt;Outlier_Calculations!$F$1),
    "Outlier Capped",
    "Clean"
  )
)</f>
        <v>Clean</v>
      </c>
      <c r="J141" s="3">
        <f>IF(
  E141 &lt; Outlier_Calculations!$E$1,
  Outlier_Calculations!$E$1,
  IF(
    E141 &gt; Outlier_Calculations!$F$1,
    Outlier_Calculations!$F$1,
    E141
  )
)</f>
        <v>540589</v>
      </c>
    </row>
    <row r="142" spans="1:10">
      <c r="A142">
        <v>1056</v>
      </c>
      <c r="B142" t="s">
        <v>11</v>
      </c>
      <c r="C142" t="s">
        <v>9</v>
      </c>
      <c r="D142" s="1">
        <v>45257</v>
      </c>
      <c r="E142">
        <v>4421764</v>
      </c>
      <c r="F142">
        <v>3448610</v>
      </c>
      <c r="G142">
        <v>252</v>
      </c>
      <c r="H142" t="s">
        <v>15</v>
      </c>
      <c r="I142" t="str">
        <f>IF(
  F142="","Missing Cost",
  IF(
    OR(E142&lt;Outlier_Calculations!$E$1,E142&gt;Outlier_Calculations!$F$1),
    "Outlier Capped",
    "Clean"
  )
)</f>
        <v>Clean</v>
      </c>
      <c r="J142" s="3">
        <f>IF(
  E142 &lt; Outlier_Calculations!$E$1,
  Outlier_Calculations!$E$1,
  IF(
    E142 &gt; Outlier_Calculations!$F$1,
    Outlier_Calculations!$F$1,
    E142
  )
)</f>
        <v>4421764</v>
      </c>
    </row>
    <row r="143" spans="1:10">
      <c r="A143">
        <v>1080</v>
      </c>
      <c r="B143" t="s">
        <v>21</v>
      </c>
      <c r="C143" t="s">
        <v>17</v>
      </c>
      <c r="D143" s="1">
        <v>45017</v>
      </c>
      <c r="E143">
        <v>3402826</v>
      </c>
      <c r="F143">
        <v>2277132</v>
      </c>
      <c r="G143">
        <v>56</v>
      </c>
      <c r="H143" t="s">
        <v>18</v>
      </c>
      <c r="I143" t="str">
        <f>IF(
  F143="","Missing Cost",
  IF(
    OR(E143&lt;Outlier_Calculations!$E$1,E143&gt;Outlier_Calculations!$F$1),
    "Outlier Capped",
    "Clean"
  )
)</f>
        <v>Clean</v>
      </c>
      <c r="J143" s="3">
        <f>IF(
  E143 &lt; Outlier_Calculations!$E$1,
  Outlier_Calculations!$E$1,
  IF(
    E143 &gt; Outlier_Calculations!$F$1,
    Outlier_Calculations!$F$1,
    E143
  )
)</f>
        <v>3402826</v>
      </c>
    </row>
    <row r="144" spans="1:10">
      <c r="A144">
        <v>1072</v>
      </c>
      <c r="B144" t="s">
        <v>8</v>
      </c>
      <c r="C144" t="s">
        <v>12</v>
      </c>
      <c r="D144" s="1">
        <v>45257</v>
      </c>
      <c r="E144">
        <v>406125</v>
      </c>
      <c r="F144">
        <v>344892</v>
      </c>
      <c r="G144">
        <v>207</v>
      </c>
      <c r="H144" t="s">
        <v>10</v>
      </c>
      <c r="I144" t="str">
        <f>IF(
  F144="","Missing Cost",
  IF(
    OR(E144&lt;Outlier_Calculations!$E$1,E144&gt;Outlier_Calculations!$F$1),
    "Outlier Capped",
    "Clean"
  )
)</f>
        <v>Clean</v>
      </c>
      <c r="J144" s="3">
        <f>IF(
  E144 &lt; Outlier_Calculations!$E$1,
  Outlier_Calculations!$E$1,
  IF(
    E144 &gt; Outlier_Calculations!$F$1,
    Outlier_Calculations!$F$1,
    E144
  )
)</f>
        <v>406125</v>
      </c>
    </row>
    <row r="145" spans="1:10">
      <c r="A145">
        <v>1002</v>
      </c>
      <c r="B145" t="s">
        <v>21</v>
      </c>
      <c r="C145" t="s">
        <v>14</v>
      </c>
      <c r="D145" s="1">
        <v>45197</v>
      </c>
      <c r="E145">
        <v>4998484</v>
      </c>
      <c r="F145">
        <v>105542</v>
      </c>
      <c r="G145">
        <v>399</v>
      </c>
      <c r="H145" t="s">
        <v>20</v>
      </c>
      <c r="I145" t="str">
        <f>IF(
  F145="","Missing Cost",
  IF(
    OR(E145&lt;Outlier_Calculations!$E$1,E145&gt;Outlier_Calculations!$F$1),
    "Outlier Capped",
    "Clean"
  )
)</f>
        <v>Clean</v>
      </c>
      <c r="J145" s="3">
        <f>IF(
  E145 &lt; Outlier_Calculations!$E$1,
  Outlier_Calculations!$E$1,
  IF(
    E145 &gt; Outlier_Calculations!$F$1,
    Outlier_Calculations!$F$1,
    E145
  )
)</f>
        <v>4998484</v>
      </c>
    </row>
    <row r="146" spans="1:10">
      <c r="A146">
        <v>1016</v>
      </c>
      <c r="B146" t="s">
        <v>16</v>
      </c>
      <c r="C146" t="s">
        <v>9</v>
      </c>
      <c r="D146" s="1">
        <v>45047</v>
      </c>
      <c r="E146">
        <v>2697721</v>
      </c>
      <c r="F146">
        <v>681233</v>
      </c>
      <c r="G146">
        <v>229</v>
      </c>
      <c r="H146" t="s">
        <v>18</v>
      </c>
      <c r="I146" t="str">
        <f>IF(
  F146="","Missing Cost",
  IF(
    OR(E146&lt;Outlier_Calculations!$E$1,E146&gt;Outlier_Calculations!$F$1),
    "Outlier Capped",
    "Clean"
  )
)</f>
        <v>Clean</v>
      </c>
      <c r="J146" s="3">
        <f>IF(
  E146 &lt; Outlier_Calculations!$E$1,
  Outlier_Calculations!$E$1,
  IF(
    E146 &gt; Outlier_Calculations!$F$1,
    Outlier_Calculations!$F$1,
    E146
  )
)</f>
        <v>2697721</v>
      </c>
    </row>
    <row r="147" spans="1:10">
      <c r="A147">
        <v>1069</v>
      </c>
      <c r="B147" t="s">
        <v>21</v>
      </c>
      <c r="C147" t="s">
        <v>17</v>
      </c>
      <c r="D147" s="1">
        <v>45017</v>
      </c>
      <c r="E147">
        <v>3775409</v>
      </c>
      <c r="F147">
        <v>3437639</v>
      </c>
      <c r="G147">
        <v>480</v>
      </c>
      <c r="H147" t="s">
        <v>20</v>
      </c>
      <c r="I147" t="str">
        <f>IF(
  F147="","Missing Cost",
  IF(
    OR(E147&lt;Outlier_Calculations!$E$1,E147&gt;Outlier_Calculations!$F$1),
    "Outlier Capped",
    "Clean"
  )
)</f>
        <v>Clean</v>
      </c>
      <c r="J147" s="3">
        <f>IF(
  E147 &lt; Outlier_Calculations!$E$1,
  Outlier_Calculations!$E$1,
  IF(
    E147 &gt; Outlier_Calculations!$F$1,
    Outlier_Calculations!$F$1,
    E147
  )
)</f>
        <v>3775409</v>
      </c>
    </row>
    <row r="148" spans="1:10">
      <c r="A148">
        <v>1007</v>
      </c>
      <c r="B148" t="s">
        <v>11</v>
      </c>
      <c r="C148" t="s">
        <v>14</v>
      </c>
      <c r="D148" s="1">
        <v>45197</v>
      </c>
      <c r="E148">
        <v>4702423</v>
      </c>
      <c r="F148">
        <v>3743379</v>
      </c>
      <c r="G148">
        <v>58</v>
      </c>
      <c r="H148" t="s">
        <v>18</v>
      </c>
      <c r="I148" t="str">
        <f>IF(
  F148="","Missing Cost",
  IF(
    OR(E148&lt;Outlier_Calculations!$E$1,E148&gt;Outlier_Calculations!$F$1),
    "Outlier Capped",
    "Clean"
  )
)</f>
        <v>Clean</v>
      </c>
      <c r="J148" s="3">
        <f>IF(
  E148 &lt; Outlier_Calculations!$E$1,
  Outlier_Calculations!$E$1,
  IF(
    E148 &gt; Outlier_Calculations!$F$1,
    Outlier_Calculations!$F$1,
    E148
  )
)</f>
        <v>4702423</v>
      </c>
    </row>
    <row r="149" spans="1:10">
      <c r="A149">
        <v>1015</v>
      </c>
      <c r="B149" t="s">
        <v>21</v>
      </c>
      <c r="C149" t="s">
        <v>17</v>
      </c>
      <c r="D149" s="1">
        <v>45197</v>
      </c>
      <c r="E149">
        <v>1134043</v>
      </c>
      <c r="F149">
        <v>3882486</v>
      </c>
      <c r="G149">
        <v>29</v>
      </c>
      <c r="H149" t="s">
        <v>10</v>
      </c>
      <c r="I149" t="str">
        <f>IF(
  F149="","Missing Cost",
  IF(
    OR(E149&lt;Outlier_Calculations!$E$1,E149&gt;Outlier_Calculations!$F$1),
    "Outlier Capped",
    "Clean"
  )
)</f>
        <v>Clean</v>
      </c>
      <c r="J149" s="3">
        <f>IF(
  E149 &lt; Outlier_Calculations!$E$1,
  Outlier_Calculations!$E$1,
  IF(
    E149 &gt; Outlier_Calculations!$F$1,
    Outlier_Calculations!$F$1,
    E149
  )
)</f>
        <v>1134043</v>
      </c>
    </row>
    <row r="150" spans="1:10">
      <c r="A150">
        <v>1081</v>
      </c>
      <c r="B150" t="s">
        <v>16</v>
      </c>
      <c r="C150" t="s">
        <v>19</v>
      </c>
      <c r="D150" s="1">
        <v>44927</v>
      </c>
      <c r="E150">
        <v>1801191</v>
      </c>
      <c r="F150">
        <v>158340</v>
      </c>
      <c r="G150">
        <v>164</v>
      </c>
      <c r="H150" t="s">
        <v>18</v>
      </c>
      <c r="I150" t="str">
        <f>IF(
  F150="","Missing Cost",
  IF(
    OR(E150&lt;Outlier_Calculations!$E$1,E150&gt;Outlier_Calculations!$F$1),
    "Outlier Capped",
    "Clean"
  )
)</f>
        <v>Clean</v>
      </c>
      <c r="J150" s="3">
        <f>IF(
  E150 &lt; Outlier_Calculations!$E$1,
  Outlier_Calculations!$E$1,
  IF(
    E150 &gt; Outlier_Calculations!$F$1,
    Outlier_Calculations!$F$1,
    E150
  )
)</f>
        <v>1801191</v>
      </c>
    </row>
    <row r="151" spans="1:10">
      <c r="A151">
        <v>1077</v>
      </c>
      <c r="B151" t="s">
        <v>21</v>
      </c>
      <c r="C151" t="s">
        <v>22</v>
      </c>
      <c r="D151" s="1">
        <v>45137</v>
      </c>
      <c r="E151">
        <v>2403215</v>
      </c>
      <c r="F151">
        <v>1172320</v>
      </c>
      <c r="G151">
        <v>292</v>
      </c>
      <c r="H151" t="s">
        <v>15</v>
      </c>
      <c r="I151" t="str">
        <f>IF(
  F151="","Missing Cost",
  IF(
    OR(E151&lt;Outlier_Calculations!$E$1,E151&gt;Outlier_Calculations!$F$1),
    "Outlier Capped",
    "Clean"
  )
)</f>
        <v>Clean</v>
      </c>
      <c r="J151" s="3">
        <f>IF(
  E151 &lt; Outlier_Calculations!$E$1,
  Outlier_Calculations!$E$1,
  IF(
    E151 &gt; Outlier_Calculations!$F$1,
    Outlier_Calculations!$F$1,
    E151
  )
)</f>
        <v>2403215</v>
      </c>
    </row>
    <row r="152" spans="1:10">
      <c r="A152">
        <v>1057</v>
      </c>
      <c r="B152" t="s">
        <v>21</v>
      </c>
      <c r="C152" t="s">
        <v>12</v>
      </c>
      <c r="D152" s="1">
        <v>45047</v>
      </c>
      <c r="E152">
        <v>4569786</v>
      </c>
      <c r="F152">
        <v>2427159</v>
      </c>
      <c r="G152">
        <v>78</v>
      </c>
      <c r="H152" t="s">
        <v>15</v>
      </c>
      <c r="I152" t="str">
        <f>IF(
  F152="","Missing Cost",
  IF(
    OR(E152&lt;Outlier_Calculations!$E$1,E152&gt;Outlier_Calculations!$F$1),
    "Outlier Capped",
    "Clean"
  )
)</f>
        <v>Clean</v>
      </c>
      <c r="J152" s="3">
        <f>IF(
  E152 &lt; Outlier_Calculations!$E$1,
  Outlier_Calculations!$E$1,
  IF(
    E152 &gt; Outlier_Calculations!$F$1,
    Outlier_Calculations!$F$1,
    E152
  )
)</f>
        <v>4569786</v>
      </c>
    </row>
    <row r="153" spans="1:10">
      <c r="A153">
        <v>1031</v>
      </c>
      <c r="B153" t="s">
        <v>13</v>
      </c>
      <c r="C153" t="s">
        <v>19</v>
      </c>
      <c r="D153" s="1">
        <v>44957</v>
      </c>
      <c r="E153">
        <v>3992986</v>
      </c>
      <c r="F153">
        <v>1662954</v>
      </c>
      <c r="G153">
        <v>307</v>
      </c>
      <c r="H153" t="s">
        <v>20</v>
      </c>
      <c r="I153" t="str">
        <f>IF(
  F153="","Missing Cost",
  IF(
    OR(E153&lt;Outlier_Calculations!$E$1,E153&gt;Outlier_Calculations!$F$1),
    "Outlier Capped",
    "Clean"
  )
)</f>
        <v>Clean</v>
      </c>
      <c r="J153" s="3">
        <f>IF(
  E153 &lt; Outlier_Calculations!$E$1,
  Outlier_Calculations!$E$1,
  IF(
    E153 &gt; Outlier_Calculations!$F$1,
    Outlier_Calculations!$F$1,
    E153
  )
)</f>
        <v>3992986</v>
      </c>
    </row>
    <row r="154" spans="1:10">
      <c r="A154">
        <v>1003</v>
      </c>
      <c r="B154" t="s">
        <v>8</v>
      </c>
      <c r="C154" t="s">
        <v>12</v>
      </c>
      <c r="D154" s="1">
        <v>44987</v>
      </c>
      <c r="E154">
        <v>3657434</v>
      </c>
      <c r="F154">
        <v>1214585</v>
      </c>
      <c r="G154">
        <v>280</v>
      </c>
      <c r="H154" t="s">
        <v>18</v>
      </c>
      <c r="I154" t="str">
        <f>IF(
  F154="","Missing Cost",
  IF(
    OR(E154&lt;Outlier_Calculations!$E$1,E154&gt;Outlier_Calculations!$F$1),
    "Outlier Capped",
    "Clean"
  )
)</f>
        <v>Clean</v>
      </c>
      <c r="J154" s="3">
        <f>IF(
  E154 &lt; Outlier_Calculations!$E$1,
  Outlier_Calculations!$E$1,
  IF(
    E154 &gt; Outlier_Calculations!$F$1,
    Outlier_Calculations!$F$1,
    E154
  )
)</f>
        <v>3657434</v>
      </c>
    </row>
    <row r="155" spans="1:10">
      <c r="A155">
        <v>1069</v>
      </c>
      <c r="B155" t="s">
        <v>21</v>
      </c>
      <c r="C155" t="s">
        <v>17</v>
      </c>
      <c r="D155" s="1">
        <v>44927</v>
      </c>
      <c r="E155">
        <v>3659464</v>
      </c>
      <c r="F155">
        <v>1336884</v>
      </c>
      <c r="G155">
        <v>273</v>
      </c>
      <c r="H155" t="s">
        <v>15</v>
      </c>
      <c r="I155" t="str">
        <f>IF(
  F155="","Missing Cost",
  IF(
    OR(E155&lt;Outlier_Calculations!$E$1,E155&gt;Outlier_Calculations!$F$1),
    "Outlier Capped",
    "Clean"
  )
)</f>
        <v>Clean</v>
      </c>
      <c r="J155" s="3">
        <f>IF(
  E155 &lt; Outlier_Calculations!$E$1,
  Outlier_Calculations!$E$1,
  IF(
    E155 &gt; Outlier_Calculations!$F$1,
    Outlier_Calculations!$F$1,
    E155
  )
)</f>
        <v>3659464</v>
      </c>
    </row>
    <row r="156" spans="1:10">
      <c r="A156">
        <v>1025</v>
      </c>
      <c r="B156" t="s">
        <v>16</v>
      </c>
      <c r="C156" t="s">
        <v>19</v>
      </c>
      <c r="D156" s="1">
        <v>45227</v>
      </c>
      <c r="E156">
        <v>339592</v>
      </c>
      <c r="F156">
        <v>50705</v>
      </c>
      <c r="G156">
        <v>154</v>
      </c>
      <c r="H156" t="s">
        <v>10</v>
      </c>
      <c r="I156" t="str">
        <f>IF(
  F156="","Missing Cost",
  IF(
    OR(E156&lt;Outlier_Calculations!$E$1,E156&gt;Outlier_Calculations!$F$1),
    "Outlier Capped",
    "Clean"
  )
)</f>
        <v>Clean</v>
      </c>
      <c r="J156" s="3">
        <f>IF(
  E156 &lt; Outlier_Calculations!$E$1,
  Outlier_Calculations!$E$1,
  IF(
    E156 &gt; Outlier_Calculations!$F$1,
    Outlier_Calculations!$F$1,
    E156
  )
)</f>
        <v>339592</v>
      </c>
    </row>
    <row r="157" spans="1:10">
      <c r="A157">
        <v>1067</v>
      </c>
      <c r="B157" t="s">
        <v>13</v>
      </c>
      <c r="C157" t="s">
        <v>17</v>
      </c>
      <c r="D157" s="1">
        <v>44957</v>
      </c>
      <c r="E157">
        <v>3397643</v>
      </c>
      <c r="F157">
        <v>559125</v>
      </c>
      <c r="G157">
        <v>443</v>
      </c>
      <c r="H157" t="s">
        <v>20</v>
      </c>
      <c r="I157" t="str">
        <f>IF(
  F157="","Missing Cost",
  IF(
    OR(E157&lt;Outlier_Calculations!$E$1,E157&gt;Outlier_Calculations!$F$1),
    "Outlier Capped",
    "Clean"
  )
)</f>
        <v>Clean</v>
      </c>
      <c r="J157" s="3">
        <f>IF(
  E157 &lt; Outlier_Calculations!$E$1,
  Outlier_Calculations!$E$1,
  IF(
    E157 &gt; Outlier_Calculations!$F$1,
    Outlier_Calculations!$F$1,
    E157
  )
)</f>
        <v>3397643</v>
      </c>
    </row>
    <row r="158" spans="1:10">
      <c r="A158">
        <v>1006</v>
      </c>
      <c r="B158" t="s">
        <v>16</v>
      </c>
      <c r="C158" t="s">
        <v>17</v>
      </c>
      <c r="D158" s="1">
        <v>45257</v>
      </c>
      <c r="E158">
        <v>3886351</v>
      </c>
      <c r="F158">
        <v>3670265</v>
      </c>
      <c r="G158">
        <v>457</v>
      </c>
      <c r="H158" t="s">
        <v>10</v>
      </c>
      <c r="I158" t="str">
        <f>IF(
  F158="","Missing Cost",
  IF(
    OR(E158&lt;Outlier_Calculations!$E$1,E158&gt;Outlier_Calculations!$F$1),
    "Outlier Capped",
    "Clean"
  )
)</f>
        <v>Clean</v>
      </c>
      <c r="J158" s="3">
        <f>IF(
  E158 &lt; Outlier_Calculations!$E$1,
  Outlier_Calculations!$E$1,
  IF(
    E158 &gt; Outlier_Calculations!$F$1,
    Outlier_Calculations!$F$1,
    E158
  )
)</f>
        <v>3886351</v>
      </c>
    </row>
    <row r="159" spans="1:10">
      <c r="A159">
        <v>1031</v>
      </c>
      <c r="B159" t="s">
        <v>11</v>
      </c>
      <c r="C159" t="s">
        <v>14</v>
      </c>
      <c r="D159" s="1">
        <v>45257</v>
      </c>
      <c r="E159">
        <v>4161500</v>
      </c>
      <c r="F159">
        <v>63080</v>
      </c>
      <c r="G159">
        <v>428</v>
      </c>
      <c r="H159" t="s">
        <v>10</v>
      </c>
      <c r="I159" t="str">
        <f>IF(
  F159="","Missing Cost",
  IF(
    OR(E159&lt;Outlier_Calculations!$E$1,E159&gt;Outlier_Calculations!$F$1),
    "Outlier Capped",
    "Clean"
  )
)</f>
        <v>Clean</v>
      </c>
      <c r="J159" s="3">
        <f>IF(
  E159 &lt; Outlier_Calculations!$E$1,
  Outlier_Calculations!$E$1,
  IF(
    E159 &gt; Outlier_Calculations!$F$1,
    Outlier_Calculations!$F$1,
    E159
  )
)</f>
        <v>4161500</v>
      </c>
    </row>
    <row r="160" spans="1:10">
      <c r="A160">
        <v>1074</v>
      </c>
      <c r="B160" t="s">
        <v>8</v>
      </c>
      <c r="C160" t="s">
        <v>12</v>
      </c>
      <c r="D160" s="1">
        <v>45077</v>
      </c>
      <c r="E160">
        <v>3230711</v>
      </c>
      <c r="F160">
        <v>2121857</v>
      </c>
      <c r="G160">
        <v>428</v>
      </c>
      <c r="H160" t="s">
        <v>15</v>
      </c>
      <c r="I160" t="str">
        <f>IF(
  F160="","Missing Cost",
  IF(
    OR(E160&lt;Outlier_Calculations!$E$1,E160&gt;Outlier_Calculations!$F$1),
    "Outlier Capped",
    "Clean"
  )
)</f>
        <v>Clean</v>
      </c>
      <c r="J160" s="3">
        <f>IF(
  E160 &lt; Outlier_Calculations!$E$1,
  Outlier_Calculations!$E$1,
  IF(
    E160 &gt; Outlier_Calculations!$F$1,
    Outlier_Calculations!$F$1,
    E160
  )
)</f>
        <v>3230711</v>
      </c>
    </row>
    <row r="161" spans="1:10">
      <c r="A161">
        <v>1082</v>
      </c>
      <c r="B161" t="s">
        <v>21</v>
      </c>
      <c r="C161" t="s">
        <v>12</v>
      </c>
      <c r="D161" s="1">
        <v>44927</v>
      </c>
      <c r="E161">
        <v>2274179</v>
      </c>
      <c r="F161">
        <v>2128968</v>
      </c>
      <c r="G161">
        <v>251</v>
      </c>
      <c r="H161" t="s">
        <v>18</v>
      </c>
      <c r="I161" t="str">
        <f>IF(
  F161="","Missing Cost",
  IF(
    OR(E161&lt;Outlier_Calculations!$E$1,E161&gt;Outlier_Calculations!$F$1),
    "Outlier Capped",
    "Clean"
  )
)</f>
        <v>Clean</v>
      </c>
      <c r="J161" s="3">
        <f>IF(
  E161 &lt; Outlier_Calculations!$E$1,
  Outlier_Calculations!$E$1,
  IF(
    E161 &gt; Outlier_Calculations!$F$1,
    Outlier_Calculations!$F$1,
    E161
  )
)</f>
        <v>2274179</v>
      </c>
    </row>
    <row r="162" spans="1:10">
      <c r="A162">
        <v>1089</v>
      </c>
      <c r="B162" t="s">
        <v>8</v>
      </c>
      <c r="C162" t="s">
        <v>17</v>
      </c>
      <c r="D162" s="1">
        <v>45197</v>
      </c>
      <c r="E162">
        <v>3151297</v>
      </c>
      <c r="F162">
        <v>683036</v>
      </c>
      <c r="G162">
        <v>208</v>
      </c>
      <c r="H162" t="s">
        <v>18</v>
      </c>
      <c r="I162" t="str">
        <f>IF(
  F162="","Missing Cost",
  IF(
    OR(E162&lt;Outlier_Calculations!$E$1,E162&gt;Outlier_Calculations!$F$1),
    "Outlier Capped",
    "Clean"
  )
)</f>
        <v>Clean</v>
      </c>
      <c r="J162" s="3">
        <f>IF(
  E162 &lt; Outlier_Calculations!$E$1,
  Outlier_Calculations!$E$1,
  IF(
    E162 &gt; Outlier_Calculations!$F$1,
    Outlier_Calculations!$F$1,
    E162
  )
)</f>
        <v>3151297</v>
      </c>
    </row>
    <row r="163" spans="1:10">
      <c r="A163">
        <v>1014</v>
      </c>
      <c r="B163" t="s">
        <v>16</v>
      </c>
      <c r="C163" t="s">
        <v>12</v>
      </c>
      <c r="D163" s="1">
        <v>44987</v>
      </c>
      <c r="E163">
        <v>2136673</v>
      </c>
      <c r="F163">
        <v>2414762</v>
      </c>
      <c r="G163">
        <v>196</v>
      </c>
      <c r="H163" t="s">
        <v>10</v>
      </c>
      <c r="I163" t="str">
        <f>IF(
  F163="","Missing Cost",
  IF(
    OR(E163&lt;Outlier_Calculations!$E$1,E163&gt;Outlier_Calculations!$F$1),
    "Outlier Capped",
    "Clean"
  )
)</f>
        <v>Clean</v>
      </c>
      <c r="J163" s="3">
        <f>IF(
  E163 &lt; Outlier_Calculations!$E$1,
  Outlier_Calculations!$E$1,
  IF(
    E163 &gt; Outlier_Calculations!$F$1,
    Outlier_Calculations!$F$1,
    E163
  )
)</f>
        <v>2136673</v>
      </c>
    </row>
    <row r="164" spans="1:10">
      <c r="A164">
        <v>1053</v>
      </c>
      <c r="B164" t="s">
        <v>16</v>
      </c>
      <c r="C164" t="s">
        <v>19</v>
      </c>
      <c r="D164" s="1">
        <v>45107</v>
      </c>
      <c r="E164">
        <v>2680472</v>
      </c>
      <c r="F164">
        <v>3252974</v>
      </c>
      <c r="G164">
        <v>426</v>
      </c>
      <c r="H164" t="s">
        <v>20</v>
      </c>
      <c r="I164" t="str">
        <f>IF(
  F164="","Missing Cost",
  IF(
    OR(E164&lt;Outlier_Calculations!$E$1,E164&gt;Outlier_Calculations!$F$1),
    "Outlier Capped",
    "Clean"
  )
)</f>
        <v>Clean</v>
      </c>
      <c r="J164" s="3">
        <f>IF(
  E164 &lt; Outlier_Calculations!$E$1,
  Outlier_Calculations!$E$1,
  IF(
    E164 &gt; Outlier_Calculations!$F$1,
    Outlier_Calculations!$F$1,
    E164
  )
)</f>
        <v>2680472</v>
      </c>
    </row>
    <row r="165" spans="1:10">
      <c r="A165">
        <v>1087</v>
      </c>
      <c r="B165" t="s">
        <v>11</v>
      </c>
      <c r="C165" t="s">
        <v>17</v>
      </c>
      <c r="D165" s="1">
        <v>45137</v>
      </c>
      <c r="E165">
        <v>3184835</v>
      </c>
      <c r="F165">
        <v>713337</v>
      </c>
      <c r="G165">
        <v>15</v>
      </c>
      <c r="H165" t="s">
        <v>18</v>
      </c>
      <c r="I165" t="str">
        <f>IF(
  F165="","Missing Cost",
  IF(
    OR(E165&lt;Outlier_Calculations!$E$1,E165&gt;Outlier_Calculations!$F$1),
    "Outlier Capped",
    "Clean"
  )
)</f>
        <v>Clean</v>
      </c>
      <c r="J165" s="3">
        <f>IF(
  E165 &lt; Outlier_Calculations!$E$1,
  Outlier_Calculations!$E$1,
  IF(
    E165 &gt; Outlier_Calculations!$F$1,
    Outlier_Calculations!$F$1,
    E165
  )
)</f>
        <v>3184835</v>
      </c>
    </row>
    <row r="166" spans="1:10">
      <c r="A166">
        <v>1069</v>
      </c>
      <c r="B166" t="s">
        <v>21</v>
      </c>
      <c r="C166" t="s">
        <v>12</v>
      </c>
      <c r="D166" s="1">
        <v>45227</v>
      </c>
      <c r="E166">
        <v>-483826</v>
      </c>
      <c r="F166">
        <v>2447206</v>
      </c>
      <c r="G166">
        <v>153</v>
      </c>
      <c r="H166" t="s">
        <v>18</v>
      </c>
      <c r="I166" t="str">
        <f>IF(
  F166="","Missing Cost",
  IF(
    OR(E166&lt;Outlier_Calculations!$E$1,E166&gt;Outlier_Calculations!$F$1),
    "Outlier Capped",
    "Clean"
  )
)</f>
        <v>Clean</v>
      </c>
      <c r="J166" s="3">
        <f>IF(
  E166 &lt; Outlier_Calculations!$E$1,
  Outlier_Calculations!$E$1,
  IF(
    E166 &gt; Outlier_Calculations!$F$1,
    Outlier_Calculations!$F$1,
    E166
  )
)</f>
        <v>-483826</v>
      </c>
    </row>
    <row r="167" spans="1:10">
      <c r="A167">
        <v>1001</v>
      </c>
      <c r="B167" t="s">
        <v>11</v>
      </c>
      <c r="C167" t="s">
        <v>14</v>
      </c>
      <c r="D167" s="1">
        <v>45167</v>
      </c>
      <c r="E167">
        <v>1347244</v>
      </c>
      <c r="F167">
        <v>422453</v>
      </c>
      <c r="G167">
        <v>133</v>
      </c>
      <c r="H167" t="s">
        <v>10</v>
      </c>
      <c r="I167" t="str">
        <f>IF(
  F167="","Missing Cost",
  IF(
    OR(E167&lt;Outlier_Calculations!$E$1,E167&gt;Outlier_Calculations!$F$1),
    "Outlier Capped",
    "Clean"
  )
)</f>
        <v>Clean</v>
      </c>
      <c r="J167" s="3">
        <f>IF(
  E167 &lt; Outlier_Calculations!$E$1,
  Outlier_Calculations!$E$1,
  IF(
    E167 &gt; Outlier_Calculations!$F$1,
    Outlier_Calculations!$F$1,
    E167
  )
)</f>
        <v>1347244</v>
      </c>
    </row>
    <row r="168" spans="1:10">
      <c r="A168">
        <v>1059</v>
      </c>
      <c r="B168" t="s">
        <v>21</v>
      </c>
      <c r="C168" t="s">
        <v>12</v>
      </c>
      <c r="D168" s="1">
        <v>45107</v>
      </c>
      <c r="E168">
        <v>4084021</v>
      </c>
      <c r="F168">
        <v>495178</v>
      </c>
      <c r="G168">
        <v>190</v>
      </c>
      <c r="H168" t="s">
        <v>10</v>
      </c>
      <c r="I168" t="str">
        <f>IF(
  F168="","Missing Cost",
  IF(
    OR(E168&lt;Outlier_Calculations!$E$1,E168&gt;Outlier_Calculations!$F$1),
    "Outlier Capped",
    "Clean"
  )
)</f>
        <v>Clean</v>
      </c>
      <c r="J168" s="3">
        <f>IF(
  E168 &lt; Outlier_Calculations!$E$1,
  Outlier_Calculations!$E$1,
  IF(
    E168 &gt; Outlier_Calculations!$F$1,
    Outlier_Calculations!$F$1,
    E168
  )
)</f>
        <v>4084021</v>
      </c>
    </row>
    <row r="169" spans="1:10">
      <c r="A169">
        <v>1033</v>
      </c>
      <c r="B169" t="s">
        <v>13</v>
      </c>
      <c r="C169" t="s">
        <v>14</v>
      </c>
      <c r="D169" s="1">
        <v>45137</v>
      </c>
      <c r="E169">
        <v>4337798</v>
      </c>
      <c r="F169">
        <v>3550515</v>
      </c>
      <c r="G169">
        <v>142</v>
      </c>
      <c r="H169" t="s">
        <v>18</v>
      </c>
      <c r="I169" t="str">
        <f>IF(
  F169="","Missing Cost",
  IF(
    OR(E169&lt;Outlier_Calculations!$E$1,E169&gt;Outlier_Calculations!$F$1),
    "Outlier Capped",
    "Clean"
  )
)</f>
        <v>Clean</v>
      </c>
      <c r="J169" s="3">
        <f>IF(
  E169 &lt; Outlier_Calculations!$E$1,
  Outlier_Calculations!$E$1,
  IF(
    E169 &gt; Outlier_Calculations!$F$1,
    Outlier_Calculations!$F$1,
    E169
  )
)</f>
        <v>4337798</v>
      </c>
    </row>
    <row r="170" spans="1:10">
      <c r="A170">
        <v>1068</v>
      </c>
      <c r="B170" t="s">
        <v>11</v>
      </c>
      <c r="C170" t="s">
        <v>9</v>
      </c>
      <c r="D170" s="1">
        <v>45017</v>
      </c>
      <c r="E170">
        <v>3377801</v>
      </c>
      <c r="F170">
        <v>1045999</v>
      </c>
      <c r="G170">
        <v>219</v>
      </c>
      <c r="H170" t="s">
        <v>15</v>
      </c>
      <c r="I170" t="str">
        <f>IF(
  F170="","Missing Cost",
  IF(
    OR(E170&lt;Outlier_Calculations!$E$1,E170&gt;Outlier_Calculations!$F$1),
    "Outlier Capped",
    "Clean"
  )
)</f>
        <v>Clean</v>
      </c>
      <c r="J170" s="3">
        <f>IF(
  E170 &lt; Outlier_Calculations!$E$1,
  Outlier_Calculations!$E$1,
  IF(
    E170 &gt; Outlier_Calculations!$F$1,
    Outlier_Calculations!$F$1,
    E170
  )
)</f>
        <v>3377801</v>
      </c>
    </row>
    <row r="171" spans="1:10">
      <c r="A171">
        <v>1048</v>
      </c>
      <c r="B171" t="s">
        <v>8</v>
      </c>
      <c r="C171" t="s">
        <v>14</v>
      </c>
      <c r="D171" s="1">
        <v>44987</v>
      </c>
      <c r="E171">
        <v>1114751</v>
      </c>
      <c r="F171">
        <v>2962423</v>
      </c>
      <c r="G171">
        <v>155</v>
      </c>
      <c r="H171" t="s">
        <v>15</v>
      </c>
      <c r="I171" t="str">
        <f>IF(
  F171="","Missing Cost",
  IF(
    OR(E171&lt;Outlier_Calculations!$E$1,E171&gt;Outlier_Calculations!$F$1),
    "Outlier Capped",
    "Clean"
  )
)</f>
        <v>Clean</v>
      </c>
      <c r="J171" s="3">
        <f>IF(
  E171 &lt; Outlier_Calculations!$E$1,
  Outlier_Calculations!$E$1,
  IF(
    E171 &gt; Outlier_Calculations!$F$1,
    Outlier_Calculations!$F$1,
    E171
  )
)</f>
        <v>1114751</v>
      </c>
    </row>
    <row r="172" spans="1:10">
      <c r="A172">
        <v>1033</v>
      </c>
      <c r="B172" t="s">
        <v>16</v>
      </c>
      <c r="C172" t="s">
        <v>12</v>
      </c>
      <c r="D172" s="1">
        <v>45107</v>
      </c>
      <c r="E172">
        <v>1084081</v>
      </c>
      <c r="F172">
        <v>3521017</v>
      </c>
      <c r="G172">
        <v>65</v>
      </c>
      <c r="H172" t="s">
        <v>20</v>
      </c>
      <c r="I172" t="str">
        <f>IF(
  F172="","Missing Cost",
  IF(
    OR(E172&lt;Outlier_Calculations!$E$1,E172&gt;Outlier_Calculations!$F$1),
    "Outlier Capped",
    "Clean"
  )
)</f>
        <v>Clean</v>
      </c>
      <c r="J172" s="3">
        <f>IF(
  E172 &lt; Outlier_Calculations!$E$1,
  Outlier_Calculations!$E$1,
  IF(
    E172 &gt; Outlier_Calculations!$F$1,
    Outlier_Calculations!$F$1,
    E172
  )
)</f>
        <v>1084081</v>
      </c>
    </row>
    <row r="173" spans="1:10">
      <c r="A173">
        <v>1057</v>
      </c>
      <c r="B173" t="s">
        <v>16</v>
      </c>
      <c r="C173" t="s">
        <v>19</v>
      </c>
      <c r="D173" s="1">
        <v>45257</v>
      </c>
      <c r="E173">
        <v>2933580</v>
      </c>
      <c r="F173">
        <v>96021</v>
      </c>
      <c r="G173">
        <v>34</v>
      </c>
      <c r="H173" t="s">
        <v>10</v>
      </c>
      <c r="I173" t="str">
        <f>IF(
  F173="","Missing Cost",
  IF(
    OR(E173&lt;Outlier_Calculations!$E$1,E173&gt;Outlier_Calculations!$F$1),
    "Outlier Capped",
    "Clean"
  )
)</f>
        <v>Clean</v>
      </c>
      <c r="J173" s="3">
        <f>IF(
  E173 &lt; Outlier_Calculations!$E$1,
  Outlier_Calculations!$E$1,
  IF(
    E173 &gt; Outlier_Calculations!$F$1,
    Outlier_Calculations!$F$1,
    E173
  )
)</f>
        <v>2933580</v>
      </c>
    </row>
    <row r="174" spans="1:10">
      <c r="A174">
        <v>1073</v>
      </c>
      <c r="B174" t="s">
        <v>21</v>
      </c>
      <c r="C174" t="s">
        <v>12</v>
      </c>
      <c r="D174" s="1">
        <v>45107</v>
      </c>
      <c r="E174">
        <v>4726623</v>
      </c>
      <c r="F174">
        <v>743108</v>
      </c>
      <c r="G174">
        <v>432</v>
      </c>
      <c r="H174" t="s">
        <v>18</v>
      </c>
      <c r="I174" t="str">
        <f>IF(
  F174="","Missing Cost",
  IF(
    OR(E174&lt;Outlier_Calculations!$E$1,E174&gt;Outlier_Calculations!$F$1),
    "Outlier Capped",
    "Clean"
  )
)</f>
        <v>Clean</v>
      </c>
      <c r="J174" s="3">
        <f>IF(
  E174 &lt; Outlier_Calculations!$E$1,
  Outlier_Calculations!$E$1,
  IF(
    E174 &gt; Outlier_Calculations!$F$1,
    Outlier_Calculations!$F$1,
    E174
  )
)</f>
        <v>4726623</v>
      </c>
    </row>
    <row r="175" spans="1:10">
      <c r="A175">
        <v>1061</v>
      </c>
      <c r="B175" t="s">
        <v>11</v>
      </c>
      <c r="C175" t="s">
        <v>19</v>
      </c>
      <c r="D175" s="1">
        <v>45047</v>
      </c>
      <c r="E175">
        <v>1474909</v>
      </c>
      <c r="F175">
        <v>397127</v>
      </c>
      <c r="G175">
        <v>75</v>
      </c>
      <c r="H175" t="s">
        <v>15</v>
      </c>
      <c r="I175" t="str">
        <f>IF(
  F175="","Missing Cost",
  IF(
    OR(E175&lt;Outlier_Calculations!$E$1,E175&gt;Outlier_Calculations!$F$1),
    "Outlier Capped",
    "Clean"
  )
)</f>
        <v>Clean</v>
      </c>
      <c r="J175" s="3">
        <f>IF(
  E175 &lt; Outlier_Calculations!$E$1,
  Outlier_Calculations!$E$1,
  IF(
    E175 &gt; Outlier_Calculations!$F$1,
    Outlier_Calculations!$F$1,
    E175
  )
)</f>
        <v>1474909</v>
      </c>
    </row>
    <row r="176" spans="1:10">
      <c r="A176">
        <v>1062</v>
      </c>
      <c r="B176" t="s">
        <v>13</v>
      </c>
      <c r="C176" t="s">
        <v>22</v>
      </c>
      <c r="D176" s="1">
        <v>45197</v>
      </c>
      <c r="E176">
        <v>4809006</v>
      </c>
      <c r="F176">
        <v>82098</v>
      </c>
      <c r="G176">
        <v>494</v>
      </c>
      <c r="H176" t="s">
        <v>15</v>
      </c>
      <c r="I176" t="str">
        <f>IF(
  F176="","Missing Cost",
  IF(
    OR(E176&lt;Outlier_Calculations!$E$1,E176&gt;Outlier_Calculations!$F$1),
    "Outlier Capped",
    "Clean"
  )
)</f>
        <v>Clean</v>
      </c>
      <c r="J176" s="3">
        <f>IF(
  E176 &lt; Outlier_Calculations!$E$1,
  Outlier_Calculations!$E$1,
  IF(
    E176 &gt; Outlier_Calculations!$F$1,
    Outlier_Calculations!$F$1,
    E176
  )
)</f>
        <v>4809006</v>
      </c>
    </row>
    <row r="177" spans="1:10">
      <c r="A177">
        <v>1070</v>
      </c>
      <c r="B177" t="s">
        <v>8</v>
      </c>
      <c r="C177" t="s">
        <v>17</v>
      </c>
      <c r="D177" s="1">
        <v>45107</v>
      </c>
      <c r="E177">
        <v>3379374</v>
      </c>
      <c r="F177">
        <v>1900734</v>
      </c>
      <c r="G177">
        <v>107</v>
      </c>
      <c r="H177" t="s">
        <v>15</v>
      </c>
      <c r="I177" t="str">
        <f>IF(
  F177="","Missing Cost",
  IF(
    OR(E177&lt;Outlier_Calculations!$E$1,E177&gt;Outlier_Calculations!$F$1),
    "Outlier Capped",
    "Clean"
  )
)</f>
        <v>Clean</v>
      </c>
      <c r="J177" s="3">
        <f>IF(
  E177 &lt; Outlier_Calculations!$E$1,
  Outlier_Calculations!$E$1,
  IF(
    E177 &gt; Outlier_Calculations!$F$1,
    Outlier_Calculations!$F$1,
    E177
  )
)</f>
        <v>3379374</v>
      </c>
    </row>
    <row r="178" spans="1:10">
      <c r="A178">
        <v>1100</v>
      </c>
      <c r="B178" t="s">
        <v>11</v>
      </c>
      <c r="C178" t="s">
        <v>19</v>
      </c>
      <c r="D178" s="1">
        <v>45257</v>
      </c>
      <c r="E178">
        <v>3381468</v>
      </c>
      <c r="F178">
        <v>416967</v>
      </c>
      <c r="G178">
        <v>113</v>
      </c>
      <c r="H178" t="s">
        <v>15</v>
      </c>
      <c r="I178" t="str">
        <f>IF(
  F178="","Missing Cost",
  IF(
    OR(E178&lt;Outlier_Calculations!$E$1,E178&gt;Outlier_Calculations!$F$1),
    "Outlier Capped",
    "Clean"
  )
)</f>
        <v>Clean</v>
      </c>
      <c r="J178" s="3">
        <f>IF(
  E178 &lt; Outlier_Calculations!$E$1,
  Outlier_Calculations!$E$1,
  IF(
    E178 &gt; Outlier_Calculations!$F$1,
    Outlier_Calculations!$F$1,
    E178
  )
)</f>
        <v>3381468</v>
      </c>
    </row>
    <row r="179" spans="1:10">
      <c r="A179">
        <v>1032</v>
      </c>
      <c r="B179" t="s">
        <v>8</v>
      </c>
      <c r="C179" t="s">
        <v>9</v>
      </c>
      <c r="D179" s="1">
        <v>45107</v>
      </c>
      <c r="E179">
        <v>2679084</v>
      </c>
      <c r="F179">
        <v>2755073</v>
      </c>
      <c r="G179">
        <v>177</v>
      </c>
      <c r="H179" t="s">
        <v>10</v>
      </c>
      <c r="I179" t="str">
        <f>IF(
  F179="","Missing Cost",
  IF(
    OR(E179&lt;Outlier_Calculations!$E$1,E179&gt;Outlier_Calculations!$F$1),
    "Outlier Capped",
    "Clean"
  )
)</f>
        <v>Clean</v>
      </c>
      <c r="J179" s="3">
        <f>IF(
  E179 &lt; Outlier_Calculations!$E$1,
  Outlier_Calculations!$E$1,
  IF(
    E179 &gt; Outlier_Calculations!$F$1,
    Outlier_Calculations!$F$1,
    E179
  )
)</f>
        <v>2679084</v>
      </c>
    </row>
    <row r="180" spans="1:10">
      <c r="A180">
        <v>1081</v>
      </c>
      <c r="B180" t="s">
        <v>21</v>
      </c>
      <c r="C180" t="s">
        <v>12</v>
      </c>
      <c r="D180" s="1">
        <v>45107</v>
      </c>
      <c r="E180">
        <v>1231803</v>
      </c>
      <c r="F180">
        <v>1767019</v>
      </c>
      <c r="G180">
        <v>143</v>
      </c>
      <c r="H180" t="s">
        <v>10</v>
      </c>
      <c r="I180" t="str">
        <f>IF(
  F180="","Missing Cost",
  IF(
    OR(E180&lt;Outlier_Calculations!$E$1,E180&gt;Outlier_Calculations!$F$1),
    "Outlier Capped",
    "Clean"
  )
)</f>
        <v>Clean</v>
      </c>
      <c r="J180" s="3">
        <f>IF(
  E180 &lt; Outlier_Calculations!$E$1,
  Outlier_Calculations!$E$1,
  IF(
    E180 &gt; Outlier_Calculations!$F$1,
    Outlier_Calculations!$F$1,
    E180
  )
)</f>
        <v>1231803</v>
      </c>
    </row>
    <row r="181" spans="1:10">
      <c r="A181">
        <v>1029</v>
      </c>
      <c r="B181" t="s">
        <v>16</v>
      </c>
      <c r="C181" t="s">
        <v>19</v>
      </c>
      <c r="D181" s="1">
        <v>45167</v>
      </c>
      <c r="E181">
        <v>89644220</v>
      </c>
      <c r="F181">
        <v>2451694.5</v>
      </c>
      <c r="G181">
        <v>217</v>
      </c>
      <c r="H181" t="s">
        <v>18</v>
      </c>
      <c r="I181" t="str">
        <f>IF(
  F181="","Missing Cost",
  IF(
    OR(E181&lt;Outlier_Calculations!$E$1,E181&gt;Outlier_Calculations!$F$1),
    "Outlier Capped",
    "Clean"
  )
)</f>
        <v>Outlier Capped</v>
      </c>
      <c r="J181" s="3">
        <f>IF(
  E181 &lt; Outlier_Calculations!$E$1,
  Outlier_Calculations!$E$1,
  IF(
    E181 &gt; Outlier_Calculations!$F$1,
    Outlier_Calculations!$F$1,
    E181
  )
)</f>
        <v>5762979.375</v>
      </c>
    </row>
    <row r="182" spans="1:10">
      <c r="A182">
        <v>1051</v>
      </c>
      <c r="B182" t="s">
        <v>8</v>
      </c>
      <c r="C182" t="s">
        <v>17</v>
      </c>
      <c r="D182" s="1">
        <v>45197</v>
      </c>
      <c r="E182">
        <v>2869895</v>
      </c>
      <c r="F182">
        <v>2100774</v>
      </c>
      <c r="G182">
        <v>422</v>
      </c>
      <c r="H182" t="s">
        <v>18</v>
      </c>
      <c r="I182" t="str">
        <f>IF(
  F182="","Missing Cost",
  IF(
    OR(E182&lt;Outlier_Calculations!$E$1,E182&gt;Outlier_Calculations!$F$1),
    "Outlier Capped",
    "Clean"
  )
)</f>
        <v>Clean</v>
      </c>
      <c r="J182" s="3">
        <f>IF(
  E182 &lt; Outlier_Calculations!$E$1,
  Outlier_Calculations!$E$1,
  IF(
    E182 &gt; Outlier_Calculations!$F$1,
    Outlier_Calculations!$F$1,
    E182
  )
)</f>
        <v>2869895</v>
      </c>
    </row>
    <row r="183" spans="1:10">
      <c r="A183">
        <v>1030</v>
      </c>
      <c r="B183" t="s">
        <v>11</v>
      </c>
      <c r="C183" t="s">
        <v>17</v>
      </c>
      <c r="D183" s="1">
        <v>44987</v>
      </c>
      <c r="E183">
        <v>2062720</v>
      </c>
      <c r="F183">
        <v>2712846</v>
      </c>
      <c r="G183">
        <v>176</v>
      </c>
      <c r="H183" t="s">
        <v>10</v>
      </c>
      <c r="I183" t="str">
        <f>IF(
  F183="","Missing Cost",
  IF(
    OR(E183&lt;Outlier_Calculations!$E$1,E183&gt;Outlier_Calculations!$F$1),
    "Outlier Capped",
    "Clean"
  )
)</f>
        <v>Clean</v>
      </c>
      <c r="J183" s="3">
        <f>IF(
  E183 &lt; Outlier_Calculations!$E$1,
  Outlier_Calculations!$E$1,
  IF(
    E183 &gt; Outlier_Calculations!$F$1,
    Outlier_Calculations!$F$1,
    E183
  )
)</f>
        <v>2062720</v>
      </c>
    </row>
    <row r="184" spans="1:10">
      <c r="A184">
        <v>1064</v>
      </c>
      <c r="B184" t="s">
        <v>11</v>
      </c>
      <c r="C184" t="s">
        <v>19</v>
      </c>
      <c r="D184" s="1">
        <v>45197</v>
      </c>
      <c r="E184">
        <v>892038</v>
      </c>
      <c r="F184">
        <v>342363</v>
      </c>
      <c r="G184">
        <v>447</v>
      </c>
      <c r="H184" t="s">
        <v>15</v>
      </c>
      <c r="I184" t="str">
        <f>IF(
  F184="","Missing Cost",
  IF(
    OR(E184&lt;Outlier_Calculations!$E$1,E184&gt;Outlier_Calculations!$F$1),
    "Outlier Capped",
    "Clean"
  )
)</f>
        <v>Clean</v>
      </c>
      <c r="J184" s="3">
        <f>IF(
  E184 &lt; Outlier_Calculations!$E$1,
  Outlier_Calculations!$E$1,
  IF(
    E184 &gt; Outlier_Calculations!$F$1,
    Outlier_Calculations!$F$1,
    E184
  )
)</f>
        <v>892038</v>
      </c>
    </row>
    <row r="185" spans="1:10">
      <c r="A185">
        <v>1045</v>
      </c>
      <c r="B185" t="s">
        <v>11</v>
      </c>
      <c r="C185" t="s">
        <v>14</v>
      </c>
      <c r="D185" s="1">
        <v>44927</v>
      </c>
      <c r="E185">
        <v>808319</v>
      </c>
      <c r="F185">
        <v>63749</v>
      </c>
      <c r="G185">
        <v>323</v>
      </c>
      <c r="H185" t="s">
        <v>20</v>
      </c>
      <c r="I185" t="str">
        <f>IF(
  F185="","Missing Cost",
  IF(
    OR(E185&lt;Outlier_Calculations!$E$1,E185&gt;Outlier_Calculations!$F$1),
    "Outlier Capped",
    "Clean"
  )
)</f>
        <v>Clean</v>
      </c>
      <c r="J185" s="3">
        <f>IF(
  E185 &lt; Outlier_Calculations!$E$1,
  Outlier_Calculations!$E$1,
  IF(
    E185 &gt; Outlier_Calculations!$F$1,
    Outlier_Calculations!$F$1,
    E185
  )
)</f>
        <v>808319</v>
      </c>
    </row>
    <row r="186" spans="1:10">
      <c r="A186">
        <v>1037</v>
      </c>
      <c r="B186" t="s">
        <v>13</v>
      </c>
      <c r="C186" t="s">
        <v>17</v>
      </c>
      <c r="D186" s="1">
        <v>44927</v>
      </c>
      <c r="E186">
        <v>285883</v>
      </c>
      <c r="F186">
        <v>378734</v>
      </c>
      <c r="G186">
        <v>111</v>
      </c>
      <c r="H186" t="s">
        <v>10</v>
      </c>
      <c r="I186" t="str">
        <f>IF(
  F186="","Missing Cost",
  IF(
    OR(E186&lt;Outlier_Calculations!$E$1,E186&gt;Outlier_Calculations!$F$1),
    "Outlier Capped",
    "Clean"
  )
)</f>
        <v>Clean</v>
      </c>
      <c r="J186" s="3">
        <f>IF(
  E186 &lt; Outlier_Calculations!$E$1,
  Outlier_Calculations!$E$1,
  IF(
    E186 &gt; Outlier_Calculations!$F$1,
    Outlier_Calculations!$F$1,
    E186
  )
)</f>
        <v>285883</v>
      </c>
    </row>
    <row r="187" spans="1:10">
      <c r="A187">
        <v>1100</v>
      </c>
      <c r="B187" t="s">
        <v>8</v>
      </c>
      <c r="C187" t="s">
        <v>9</v>
      </c>
      <c r="D187" s="1">
        <v>45167</v>
      </c>
      <c r="E187">
        <v>4056982</v>
      </c>
      <c r="F187">
        <v>2011492</v>
      </c>
      <c r="G187">
        <v>164</v>
      </c>
      <c r="H187" t="s">
        <v>15</v>
      </c>
      <c r="I187" t="str">
        <f>IF(
  F187="","Missing Cost",
  IF(
    OR(E187&lt;Outlier_Calculations!$E$1,E187&gt;Outlier_Calculations!$F$1),
    "Outlier Capped",
    "Clean"
  )
)</f>
        <v>Clean</v>
      </c>
      <c r="J187" s="3">
        <f>IF(
  E187 &lt; Outlier_Calculations!$E$1,
  Outlier_Calculations!$E$1,
  IF(
    E187 &gt; Outlier_Calculations!$F$1,
    Outlier_Calculations!$F$1,
    E187
  )
)</f>
        <v>4056982</v>
      </c>
    </row>
    <row r="188" spans="1:10">
      <c r="A188">
        <v>1069</v>
      </c>
      <c r="B188" t="s">
        <v>11</v>
      </c>
      <c r="C188" t="s">
        <v>12</v>
      </c>
      <c r="D188" s="1">
        <v>45197</v>
      </c>
      <c r="E188">
        <v>3765427</v>
      </c>
      <c r="F188">
        <v>2770096</v>
      </c>
      <c r="G188">
        <v>325</v>
      </c>
      <c r="H188" t="s">
        <v>20</v>
      </c>
      <c r="I188" t="str">
        <f>IF(
  F188="","Missing Cost",
  IF(
    OR(E188&lt;Outlier_Calculations!$E$1,E188&gt;Outlier_Calculations!$F$1),
    "Outlier Capped",
    "Clean"
  )
)</f>
        <v>Clean</v>
      </c>
      <c r="J188" s="3">
        <f>IF(
  E188 &lt; Outlier_Calculations!$E$1,
  Outlier_Calculations!$E$1,
  IF(
    E188 &gt; Outlier_Calculations!$F$1,
    Outlier_Calculations!$F$1,
    E188
  )
)</f>
        <v>3765427</v>
      </c>
    </row>
    <row r="189" spans="1:10">
      <c r="A189">
        <v>1069</v>
      </c>
      <c r="B189" t="s">
        <v>16</v>
      </c>
      <c r="C189" t="s">
        <v>12</v>
      </c>
      <c r="D189" s="1">
        <v>45137</v>
      </c>
      <c r="E189">
        <v>882325</v>
      </c>
      <c r="F189">
        <v>579610</v>
      </c>
      <c r="G189">
        <v>456</v>
      </c>
      <c r="H189" t="s">
        <v>15</v>
      </c>
      <c r="I189" t="str">
        <f>IF(
  F189="","Missing Cost",
  IF(
    OR(E189&lt;Outlier_Calculations!$E$1,E189&gt;Outlier_Calculations!$F$1),
    "Outlier Capped",
    "Clean"
  )
)</f>
        <v>Clean</v>
      </c>
      <c r="J189" s="3">
        <f>IF(
  E189 &lt; Outlier_Calculations!$E$1,
  Outlier_Calculations!$E$1,
  IF(
    E189 &gt; Outlier_Calculations!$F$1,
    Outlier_Calculations!$F$1,
    E189
  )
)</f>
        <v>882325</v>
      </c>
    </row>
    <row r="190" spans="1:10">
      <c r="A190">
        <v>1077</v>
      </c>
      <c r="B190" t="s">
        <v>11</v>
      </c>
      <c r="C190" t="s">
        <v>14</v>
      </c>
      <c r="D190" s="1">
        <v>45107</v>
      </c>
      <c r="E190">
        <v>4900923</v>
      </c>
      <c r="F190">
        <v>77354</v>
      </c>
      <c r="G190">
        <v>217</v>
      </c>
      <c r="H190" t="s">
        <v>18</v>
      </c>
      <c r="I190" t="str">
        <f>IF(
  F190="","Missing Cost",
  IF(
    OR(E190&lt;Outlier_Calculations!$E$1,E190&gt;Outlier_Calculations!$F$1),
    "Outlier Capped",
    "Clean"
  )
)</f>
        <v>Clean</v>
      </c>
      <c r="J190" s="3">
        <f>IF(
  E190 &lt; Outlier_Calculations!$E$1,
  Outlier_Calculations!$E$1,
  IF(
    E190 &gt; Outlier_Calculations!$F$1,
    Outlier_Calculations!$F$1,
    E190
  )
)</f>
        <v>4900923</v>
      </c>
    </row>
    <row r="191" spans="1:10">
      <c r="A191">
        <v>1031</v>
      </c>
      <c r="B191" t="s">
        <v>21</v>
      </c>
      <c r="C191" t="s">
        <v>14</v>
      </c>
      <c r="D191" s="1">
        <v>44927</v>
      </c>
      <c r="E191">
        <v>3153213</v>
      </c>
      <c r="F191">
        <v>2210828</v>
      </c>
      <c r="G191">
        <v>250</v>
      </c>
      <c r="H191" t="s">
        <v>10</v>
      </c>
      <c r="I191" t="str">
        <f>IF(
  F191="","Missing Cost",
  IF(
    OR(E191&lt;Outlier_Calculations!$E$1,E191&gt;Outlier_Calculations!$F$1),
    "Outlier Capped",
    "Clean"
  )
)</f>
        <v>Clean</v>
      </c>
      <c r="J191" s="3">
        <f>IF(
  E191 &lt; Outlier_Calculations!$E$1,
  Outlier_Calculations!$E$1,
  IF(
    E191 &gt; Outlier_Calculations!$F$1,
    Outlier_Calculations!$F$1,
    E191
  )
)</f>
        <v>3153213</v>
      </c>
    </row>
    <row r="192" spans="1:10">
      <c r="A192">
        <v>1052</v>
      </c>
      <c r="B192" t="s">
        <v>11</v>
      </c>
      <c r="C192" t="s">
        <v>17</v>
      </c>
      <c r="D192" s="1">
        <v>45227</v>
      </c>
      <c r="E192">
        <v>3247053</v>
      </c>
      <c r="F192">
        <v>887895</v>
      </c>
      <c r="G192">
        <v>217</v>
      </c>
      <c r="H192" t="s">
        <v>15</v>
      </c>
      <c r="I192" t="str">
        <f>IF(
  F192="","Missing Cost",
  IF(
    OR(E192&lt;Outlier_Calculations!$E$1,E192&gt;Outlier_Calculations!$F$1),
    "Outlier Capped",
    "Clean"
  )
)</f>
        <v>Clean</v>
      </c>
      <c r="J192" s="3">
        <f>IF(
  E192 &lt; Outlier_Calculations!$E$1,
  Outlier_Calculations!$E$1,
  IF(
    E192 &gt; Outlier_Calculations!$F$1,
    Outlier_Calculations!$F$1,
    E192
  )
)</f>
        <v>3247053</v>
      </c>
    </row>
    <row r="193" spans="1:10">
      <c r="A193">
        <v>1065</v>
      </c>
      <c r="B193" t="s">
        <v>21</v>
      </c>
      <c r="C193" t="s">
        <v>9</v>
      </c>
      <c r="D193" s="1">
        <v>44987</v>
      </c>
      <c r="E193">
        <v>3292645</v>
      </c>
      <c r="F193">
        <v>3484918</v>
      </c>
      <c r="G193">
        <v>382</v>
      </c>
      <c r="H193" t="s">
        <v>18</v>
      </c>
      <c r="I193" t="str">
        <f>IF(
  F193="","Missing Cost",
  IF(
    OR(E193&lt;Outlier_Calculations!$E$1,E193&gt;Outlier_Calculations!$F$1),
    "Outlier Capped",
    "Clean"
  )
)</f>
        <v>Clean</v>
      </c>
      <c r="J193" s="3">
        <f>IF(
  E193 &lt; Outlier_Calculations!$E$1,
  Outlier_Calculations!$E$1,
  IF(
    E193 &gt; Outlier_Calculations!$F$1,
    Outlier_Calculations!$F$1,
    E193
  )
)</f>
        <v>3292645</v>
      </c>
    </row>
    <row r="194" spans="1:10">
      <c r="A194">
        <v>1055</v>
      </c>
      <c r="B194" t="s">
        <v>16</v>
      </c>
      <c r="C194" t="s">
        <v>12</v>
      </c>
      <c r="D194" s="1">
        <v>44957</v>
      </c>
      <c r="E194">
        <v>572706</v>
      </c>
      <c r="F194">
        <v>847592</v>
      </c>
      <c r="G194">
        <v>228</v>
      </c>
      <c r="H194" t="s">
        <v>15</v>
      </c>
      <c r="I194" t="str">
        <f>IF(
  F194="","Missing Cost",
  IF(
    OR(E194&lt;Outlier_Calculations!$E$1,E194&gt;Outlier_Calculations!$F$1),
    "Outlier Capped",
    "Clean"
  )
)</f>
        <v>Clean</v>
      </c>
      <c r="J194" s="3">
        <f>IF(
  E194 &lt; Outlier_Calculations!$E$1,
  Outlier_Calculations!$E$1,
  IF(
    E194 &gt; Outlier_Calculations!$F$1,
    Outlier_Calculations!$F$1,
    E194
  )
)</f>
        <v>572706</v>
      </c>
    </row>
    <row r="195" spans="1:10">
      <c r="A195">
        <v>1066</v>
      </c>
      <c r="B195" t="s">
        <v>16</v>
      </c>
      <c r="C195" t="s">
        <v>12</v>
      </c>
      <c r="D195" s="1">
        <v>44987</v>
      </c>
      <c r="E195">
        <v>3261520</v>
      </c>
      <c r="F195">
        <v>2544973</v>
      </c>
      <c r="G195">
        <v>353</v>
      </c>
      <c r="H195" t="s">
        <v>10</v>
      </c>
      <c r="I195" t="str">
        <f>IF(
  F195="","Missing Cost",
  IF(
    OR(E195&lt;Outlier_Calculations!$E$1,E195&gt;Outlier_Calculations!$F$1),
    "Outlier Capped",
    "Clean"
  )
)</f>
        <v>Clean</v>
      </c>
      <c r="J195" s="3">
        <f>IF(
  E195 &lt; Outlier_Calculations!$E$1,
  Outlier_Calculations!$E$1,
  IF(
    E195 &gt; Outlier_Calculations!$F$1,
    Outlier_Calculations!$F$1,
    E195
  )
)</f>
        <v>3261520</v>
      </c>
    </row>
    <row r="196" spans="1:10">
      <c r="A196">
        <v>1028</v>
      </c>
      <c r="B196" t="s">
        <v>8</v>
      </c>
      <c r="C196" t="s">
        <v>12</v>
      </c>
      <c r="D196" s="1">
        <v>45077</v>
      </c>
      <c r="E196">
        <v>2870005</v>
      </c>
      <c r="F196">
        <v>155861</v>
      </c>
      <c r="G196">
        <v>277</v>
      </c>
      <c r="H196" t="s">
        <v>10</v>
      </c>
      <c r="I196" t="str">
        <f>IF(
  F196="","Missing Cost",
  IF(
    OR(E196&lt;Outlier_Calculations!$E$1,E196&gt;Outlier_Calculations!$F$1),
    "Outlier Capped",
    "Clean"
  )
)</f>
        <v>Clean</v>
      </c>
      <c r="J196" s="3">
        <f>IF(
  E196 &lt; Outlier_Calculations!$E$1,
  Outlier_Calculations!$E$1,
  IF(
    E196 &gt; Outlier_Calculations!$F$1,
    Outlier_Calculations!$F$1,
    E196
  )
)</f>
        <v>2870005</v>
      </c>
    </row>
    <row r="197" spans="1:10">
      <c r="A197">
        <v>1083</v>
      </c>
      <c r="B197" t="s">
        <v>21</v>
      </c>
      <c r="C197" t="s">
        <v>14</v>
      </c>
      <c r="D197" s="1">
        <v>45077</v>
      </c>
      <c r="E197">
        <v>1232121</v>
      </c>
      <c r="F197">
        <v>280062</v>
      </c>
      <c r="G197">
        <v>381</v>
      </c>
      <c r="H197" t="s">
        <v>10</v>
      </c>
      <c r="I197" t="str">
        <f>IF(
  F197="","Missing Cost",
  IF(
    OR(E197&lt;Outlier_Calculations!$E$1,E197&gt;Outlier_Calculations!$F$1),
    "Outlier Capped",
    "Clean"
  )
)</f>
        <v>Clean</v>
      </c>
      <c r="J197" s="3">
        <f>IF(
  E197 &lt; Outlier_Calculations!$E$1,
  Outlier_Calculations!$E$1,
  IF(
    E197 &gt; Outlier_Calculations!$F$1,
    Outlier_Calculations!$F$1,
    E197
  )
)</f>
        <v>1232121</v>
      </c>
    </row>
    <row r="198" spans="1:10">
      <c r="A198">
        <v>1074</v>
      </c>
      <c r="B198" t="s">
        <v>16</v>
      </c>
      <c r="C198" t="s">
        <v>17</v>
      </c>
      <c r="D198" s="1">
        <v>45047</v>
      </c>
      <c r="E198">
        <v>2071859</v>
      </c>
      <c r="F198">
        <v>3311588</v>
      </c>
      <c r="G198">
        <v>144</v>
      </c>
      <c r="H198" t="s">
        <v>18</v>
      </c>
      <c r="I198" t="str">
        <f>IF(
  F198="","Missing Cost",
  IF(
    OR(E198&lt;Outlier_Calculations!$E$1,E198&gt;Outlier_Calculations!$F$1),
    "Outlier Capped",
    "Clean"
  )
)</f>
        <v>Clean</v>
      </c>
      <c r="J198" s="3">
        <f>IF(
  E198 &lt; Outlier_Calculations!$E$1,
  Outlier_Calculations!$E$1,
  IF(
    E198 &gt; Outlier_Calculations!$F$1,
    Outlier_Calculations!$F$1,
    E198
  )
)</f>
        <v>2071859</v>
      </c>
    </row>
    <row r="199" spans="1:10">
      <c r="A199">
        <v>1040</v>
      </c>
      <c r="B199" t="s">
        <v>16</v>
      </c>
      <c r="C199" t="s">
        <v>17</v>
      </c>
      <c r="D199" s="1">
        <v>45137</v>
      </c>
      <c r="E199">
        <v>-3560884</v>
      </c>
      <c r="F199">
        <v>3556797</v>
      </c>
      <c r="G199">
        <v>360</v>
      </c>
      <c r="H199" t="s">
        <v>15</v>
      </c>
      <c r="I199" t="str">
        <f>IF(
  F199="","Missing Cost",
  IF(
    OR(E199&lt;Outlier_Calculations!$E$1,E199&gt;Outlier_Calculations!$F$1),
    "Outlier Capped",
    "Clean"
  )
)</f>
        <v>Outlier Capped</v>
      </c>
      <c r="J199" s="3">
        <f>IF(
  E199 &lt; Outlier_Calculations!$E$1,
  Outlier_Calculations!$E$1,
  IF(
    E199 &gt; Outlier_Calculations!$F$1,
    Outlier_Calculations!$F$1,
    E199
  )
)</f>
        <v>-1939863.625</v>
      </c>
    </row>
    <row r="200" spans="1:10">
      <c r="A200">
        <v>1038</v>
      </c>
      <c r="B200" t="s">
        <v>16</v>
      </c>
      <c r="C200" t="s">
        <v>17</v>
      </c>
      <c r="D200" s="1">
        <v>44987</v>
      </c>
      <c r="E200">
        <v>1090447</v>
      </c>
      <c r="F200">
        <v>2530205</v>
      </c>
      <c r="G200">
        <v>29</v>
      </c>
      <c r="H200" t="s">
        <v>18</v>
      </c>
      <c r="I200" t="str">
        <f>IF(
  F200="","Missing Cost",
  IF(
    OR(E200&lt;Outlier_Calculations!$E$1,E200&gt;Outlier_Calculations!$F$1),
    "Outlier Capped",
    "Clean"
  )
)</f>
        <v>Clean</v>
      </c>
      <c r="J200" s="3">
        <f>IF(
  E200 &lt; Outlier_Calculations!$E$1,
  Outlier_Calculations!$E$1,
  IF(
    E200 &gt; Outlier_Calculations!$F$1,
    Outlier_Calculations!$F$1,
    E200
  )
)</f>
        <v>1090447</v>
      </c>
    </row>
    <row r="201" spans="1:10">
      <c r="A201">
        <v>1045</v>
      </c>
      <c r="B201" t="s">
        <v>21</v>
      </c>
      <c r="C201" t="s">
        <v>22</v>
      </c>
      <c r="D201" s="1">
        <v>45047</v>
      </c>
      <c r="E201">
        <v>4577348</v>
      </c>
      <c r="F201">
        <v>2128968</v>
      </c>
      <c r="G201">
        <v>203</v>
      </c>
      <c r="H201" t="s">
        <v>18</v>
      </c>
      <c r="I201" t="str">
        <f>IF(
  F201="","Missing Cost",
  IF(
    OR(E201&lt;Outlier_Calculations!$E$1,E201&gt;Outlier_Calculations!$F$1),
    "Outlier Capped",
    "Clean"
  )
)</f>
        <v>Clean</v>
      </c>
      <c r="J201" s="3">
        <f>IF(
  E201 &lt; Outlier_Calculations!$E$1,
  Outlier_Calculations!$E$1,
  IF(
    E201 &gt; Outlier_Calculations!$F$1,
    Outlier_Calculations!$F$1,
    E201
  )
)</f>
        <v>4577348</v>
      </c>
    </row>
    <row r="202" spans="1:10">
      <c r="A202">
        <v>1002</v>
      </c>
      <c r="B202" t="s">
        <v>16</v>
      </c>
      <c r="C202" t="s">
        <v>19</v>
      </c>
      <c r="D202" s="1">
        <v>44957</v>
      </c>
      <c r="E202">
        <v>1489333</v>
      </c>
      <c r="F202">
        <v>46974</v>
      </c>
      <c r="G202">
        <v>429</v>
      </c>
      <c r="H202" t="s">
        <v>18</v>
      </c>
      <c r="I202" t="str">
        <f>IF(
  F202="","Missing Cost",
  IF(
    OR(E202&lt;Outlier_Calculations!$E$1,E202&gt;Outlier_Calculations!$F$1),
    "Outlier Capped",
    "Clean"
  )
)</f>
        <v>Clean</v>
      </c>
      <c r="J202" s="3">
        <f>IF(
  E202 &lt; Outlier_Calculations!$E$1,
  Outlier_Calculations!$E$1,
  IF(
    E202 &gt; Outlier_Calculations!$F$1,
    Outlier_Calculations!$F$1,
    E202
  )
)</f>
        <v>1489333</v>
      </c>
    </row>
    <row r="203" spans="1:10">
      <c r="A203">
        <v>1032</v>
      </c>
      <c r="B203" t="s">
        <v>8</v>
      </c>
      <c r="C203" t="s">
        <v>12</v>
      </c>
      <c r="D203" s="1">
        <v>44957</v>
      </c>
      <c r="E203">
        <v>3783053</v>
      </c>
      <c r="F203">
        <v>3732739</v>
      </c>
      <c r="G203">
        <v>491</v>
      </c>
      <c r="H203" t="s">
        <v>15</v>
      </c>
      <c r="I203" t="str">
        <f>IF(
  F203="","Missing Cost",
  IF(
    OR(E203&lt;Outlier_Calculations!$E$1,E203&gt;Outlier_Calculations!$F$1),
    "Outlier Capped",
    "Clean"
  )
)</f>
        <v>Clean</v>
      </c>
      <c r="J203" s="3">
        <f>IF(
  E203 &lt; Outlier_Calculations!$E$1,
  Outlier_Calculations!$E$1,
  IF(
    E203 &gt; Outlier_Calculations!$F$1,
    Outlier_Calculations!$F$1,
    E203
  )
)</f>
        <v>3783053</v>
      </c>
    </row>
    <row r="204" spans="1:10">
      <c r="A204">
        <v>1043</v>
      </c>
      <c r="B204" t="s">
        <v>13</v>
      </c>
      <c r="C204" t="s">
        <v>19</v>
      </c>
      <c r="D204" s="1">
        <v>45257</v>
      </c>
      <c r="E204">
        <v>1714287</v>
      </c>
      <c r="F204">
        <v>1640581</v>
      </c>
      <c r="G204">
        <v>106</v>
      </c>
      <c r="H204" t="s">
        <v>18</v>
      </c>
      <c r="I204" t="str">
        <f>IF(
  F204="","Missing Cost",
  IF(
    OR(E204&lt;Outlier_Calculations!$E$1,E204&gt;Outlier_Calculations!$F$1),
    "Outlier Capped",
    "Clean"
  )
)</f>
        <v>Clean</v>
      </c>
      <c r="J204" s="3">
        <f>IF(
  E204 &lt; Outlier_Calculations!$E$1,
  Outlier_Calculations!$E$1,
  IF(
    E204 &gt; Outlier_Calculations!$F$1,
    Outlier_Calculations!$F$1,
    E204
  )
)</f>
        <v>1714287</v>
      </c>
    </row>
    <row r="205" spans="1:10">
      <c r="A205">
        <v>1018</v>
      </c>
      <c r="B205" t="s">
        <v>21</v>
      </c>
      <c r="C205" t="s">
        <v>14</v>
      </c>
      <c r="D205" s="1">
        <v>45107</v>
      </c>
      <c r="E205">
        <v>718798</v>
      </c>
      <c r="F205">
        <v>3947905</v>
      </c>
      <c r="G205">
        <v>187</v>
      </c>
      <c r="H205" t="s">
        <v>20</v>
      </c>
      <c r="I205" t="str">
        <f>IF(
  F205="","Missing Cost",
  IF(
    OR(E205&lt;Outlier_Calculations!$E$1,E205&gt;Outlier_Calculations!$F$1),
    "Outlier Capped",
    "Clean"
  )
)</f>
        <v>Clean</v>
      </c>
      <c r="J205" s="3">
        <f>IF(
  E205 &lt; Outlier_Calculations!$E$1,
  Outlier_Calculations!$E$1,
  IF(
    E205 &gt; Outlier_Calculations!$F$1,
    Outlier_Calculations!$F$1,
    E205
  )
)</f>
        <v>718798</v>
      </c>
    </row>
    <row r="206" spans="1:10">
      <c r="A206">
        <v>1003</v>
      </c>
      <c r="B206" t="s">
        <v>16</v>
      </c>
      <c r="C206" t="s">
        <v>12</v>
      </c>
      <c r="D206" s="1">
        <v>45137</v>
      </c>
      <c r="E206">
        <v>1916124</v>
      </c>
      <c r="F206">
        <v>3671157</v>
      </c>
      <c r="G206">
        <v>335</v>
      </c>
      <c r="H206" t="s">
        <v>10</v>
      </c>
      <c r="I206" t="str">
        <f>IF(
  F206="","Missing Cost",
  IF(
    OR(E206&lt;Outlier_Calculations!$E$1,E206&gt;Outlier_Calculations!$F$1),
    "Outlier Capped",
    "Clean"
  )
)</f>
        <v>Clean</v>
      </c>
      <c r="J206" s="3">
        <f>IF(
  E206 &lt; Outlier_Calculations!$E$1,
  Outlier_Calculations!$E$1,
  IF(
    E206 &gt; Outlier_Calculations!$F$1,
    Outlier_Calculations!$F$1,
    E206
  )
)</f>
        <v>1916124</v>
      </c>
    </row>
    <row r="207" spans="1:10">
      <c r="A207">
        <v>1036</v>
      </c>
      <c r="B207" t="s">
        <v>8</v>
      </c>
      <c r="C207" t="s">
        <v>9</v>
      </c>
      <c r="D207" s="1">
        <v>45257</v>
      </c>
      <c r="E207">
        <v>4184193</v>
      </c>
      <c r="F207">
        <v>2780974</v>
      </c>
      <c r="G207">
        <v>280</v>
      </c>
      <c r="H207" t="s">
        <v>10</v>
      </c>
      <c r="I207" t="str">
        <f>IF(
  F207="","Missing Cost",
  IF(
    OR(E207&lt;Outlier_Calculations!$E$1,E207&gt;Outlier_Calculations!$F$1),
    "Outlier Capped",
    "Clean"
  )
)</f>
        <v>Clean</v>
      </c>
      <c r="J207" s="3">
        <f>IF(
  E207 &lt; Outlier_Calculations!$E$1,
  Outlier_Calculations!$E$1,
  IF(
    E207 &gt; Outlier_Calculations!$F$1,
    Outlier_Calculations!$F$1,
    E207
  )
)</f>
        <v>4184193</v>
      </c>
    </row>
    <row r="208" spans="1:10">
      <c r="A208">
        <v>1070</v>
      </c>
      <c r="B208" t="s">
        <v>13</v>
      </c>
      <c r="C208" t="s">
        <v>19</v>
      </c>
      <c r="D208" s="1">
        <v>45257</v>
      </c>
      <c r="E208">
        <v>2191047</v>
      </c>
      <c r="F208">
        <v>3942335</v>
      </c>
      <c r="G208">
        <v>487</v>
      </c>
      <c r="H208" t="s">
        <v>10</v>
      </c>
      <c r="I208" t="str">
        <f>IF(
  F208="","Missing Cost",
  IF(
    OR(E208&lt;Outlier_Calculations!$E$1,E208&gt;Outlier_Calculations!$F$1),
    "Outlier Capped",
    "Clean"
  )
)</f>
        <v>Clean</v>
      </c>
      <c r="J208" s="3">
        <f>IF(
  E208 &lt; Outlier_Calculations!$E$1,
  Outlier_Calculations!$E$1,
  IF(
    E208 &gt; Outlier_Calculations!$F$1,
    Outlier_Calculations!$F$1,
    E208
  )
)</f>
        <v>2191047</v>
      </c>
    </row>
    <row r="209" spans="1:10">
      <c r="A209">
        <v>1027</v>
      </c>
      <c r="B209" t="s">
        <v>16</v>
      </c>
      <c r="C209" t="s">
        <v>12</v>
      </c>
      <c r="D209" s="1">
        <v>44957</v>
      </c>
      <c r="E209">
        <v>3338161</v>
      </c>
      <c r="F209">
        <v>2328806</v>
      </c>
      <c r="G209">
        <v>292</v>
      </c>
      <c r="H209" t="s">
        <v>18</v>
      </c>
      <c r="I209" t="str">
        <f>IF(
  F209="","Missing Cost",
  IF(
    OR(E209&lt;Outlier_Calculations!$E$1,E209&gt;Outlier_Calculations!$F$1),
    "Outlier Capped",
    "Clean"
  )
)</f>
        <v>Clean</v>
      </c>
      <c r="J209" s="3">
        <f>IF(
  E209 &lt; Outlier_Calculations!$E$1,
  Outlier_Calculations!$E$1,
  IF(
    E209 &gt; Outlier_Calculations!$F$1,
    Outlier_Calculations!$F$1,
    E209
  )
)</f>
        <v>3338161</v>
      </c>
    </row>
    <row r="210" spans="1:10">
      <c r="A210">
        <v>1024</v>
      </c>
      <c r="B210" t="s">
        <v>8</v>
      </c>
      <c r="C210" t="s">
        <v>9</v>
      </c>
      <c r="D210" s="1">
        <v>45077</v>
      </c>
      <c r="E210">
        <v>2207867</v>
      </c>
      <c r="F210">
        <v>960796</v>
      </c>
      <c r="G210">
        <v>275</v>
      </c>
      <c r="H210" t="s">
        <v>15</v>
      </c>
      <c r="I210" t="str">
        <f>IF(
  F210="","Missing Cost",
  IF(
    OR(E210&lt;Outlier_Calculations!$E$1,E210&gt;Outlier_Calculations!$F$1),
    "Outlier Capped",
    "Clean"
  )
)</f>
        <v>Clean</v>
      </c>
      <c r="J210" s="3">
        <f>IF(
  E210 &lt; Outlier_Calculations!$E$1,
  Outlier_Calculations!$E$1,
  IF(
    E210 &gt; Outlier_Calculations!$F$1,
    Outlier_Calculations!$F$1,
    E210
  )
)</f>
        <v>2207867</v>
      </c>
    </row>
    <row r="211" spans="1:10">
      <c r="A211">
        <v>1065</v>
      </c>
      <c r="B211" t="s">
        <v>11</v>
      </c>
      <c r="C211" t="s">
        <v>12</v>
      </c>
      <c r="D211" s="1">
        <v>44957</v>
      </c>
      <c r="E211">
        <v>3736672</v>
      </c>
      <c r="F211">
        <v>3958244</v>
      </c>
      <c r="G211">
        <v>109</v>
      </c>
      <c r="H211" t="s">
        <v>20</v>
      </c>
      <c r="I211" t="str">
        <f>IF(
  F211="","Missing Cost",
  IF(
    OR(E211&lt;Outlier_Calculations!$E$1,E211&gt;Outlier_Calculations!$F$1),
    "Outlier Capped",
    "Clean"
  )
)</f>
        <v>Clean</v>
      </c>
      <c r="J211" s="3">
        <f>IF(
  E211 &lt; Outlier_Calculations!$E$1,
  Outlier_Calculations!$E$1,
  IF(
    E211 &gt; Outlier_Calculations!$F$1,
    Outlier_Calculations!$F$1,
    E211
  )
)</f>
        <v>3736672</v>
      </c>
    </row>
    <row r="212" spans="1:10">
      <c r="A212">
        <v>1082</v>
      </c>
      <c r="B212" t="s">
        <v>11</v>
      </c>
      <c r="C212" t="s">
        <v>19</v>
      </c>
      <c r="D212" s="1">
        <v>45077</v>
      </c>
      <c r="E212">
        <v>732687</v>
      </c>
      <c r="F212">
        <v>878016</v>
      </c>
      <c r="G212">
        <v>60</v>
      </c>
      <c r="H212" t="s">
        <v>15</v>
      </c>
      <c r="I212" t="str">
        <f>IF(
  F212="","Missing Cost",
  IF(
    OR(E212&lt;Outlier_Calculations!$E$1,E212&gt;Outlier_Calculations!$F$1),
    "Outlier Capped",
    "Clean"
  )
)</f>
        <v>Clean</v>
      </c>
      <c r="J212" s="3">
        <f>IF(
  E212 &lt; Outlier_Calculations!$E$1,
  Outlier_Calculations!$E$1,
  IF(
    E212 &gt; Outlier_Calculations!$F$1,
    Outlier_Calculations!$F$1,
    E212
  )
)</f>
        <v>732687</v>
      </c>
    </row>
    <row r="213" spans="1:10">
      <c r="A213">
        <v>1069</v>
      </c>
      <c r="B213" t="s">
        <v>8</v>
      </c>
      <c r="C213" t="s">
        <v>19</v>
      </c>
      <c r="D213" s="1">
        <v>45227</v>
      </c>
      <c r="E213">
        <v>2666599</v>
      </c>
      <c r="F213">
        <v>465280</v>
      </c>
      <c r="G213">
        <v>138</v>
      </c>
      <c r="H213" t="s">
        <v>15</v>
      </c>
      <c r="I213" t="str">
        <f>IF(
  F213="","Missing Cost",
  IF(
    OR(E213&lt;Outlier_Calculations!$E$1,E213&gt;Outlier_Calculations!$F$1),
    "Outlier Capped",
    "Clean"
  )
)</f>
        <v>Clean</v>
      </c>
      <c r="J213" s="3">
        <f>IF(
  E213 &lt; Outlier_Calculations!$E$1,
  Outlier_Calculations!$E$1,
  IF(
    E213 &gt; Outlier_Calculations!$F$1,
    Outlier_Calculations!$F$1,
    E213
  )
)</f>
        <v>2666599</v>
      </c>
    </row>
    <row r="214" spans="1:10">
      <c r="A214">
        <v>1017</v>
      </c>
      <c r="B214" t="s">
        <v>11</v>
      </c>
      <c r="C214" t="s">
        <v>14</v>
      </c>
      <c r="D214" s="1">
        <v>45107</v>
      </c>
      <c r="E214">
        <v>4886093</v>
      </c>
      <c r="F214">
        <v>762340</v>
      </c>
      <c r="G214">
        <v>364</v>
      </c>
      <c r="H214" t="s">
        <v>15</v>
      </c>
      <c r="I214" t="str">
        <f>IF(
  F214="","Missing Cost",
  IF(
    OR(E214&lt;Outlier_Calculations!$E$1,E214&gt;Outlier_Calculations!$F$1),
    "Outlier Capped",
    "Clean"
  )
)</f>
        <v>Clean</v>
      </c>
      <c r="J214" s="3">
        <f>IF(
  E214 &lt; Outlier_Calculations!$E$1,
  Outlier_Calculations!$E$1,
  IF(
    E214 &gt; Outlier_Calculations!$F$1,
    Outlier_Calculations!$F$1,
    E214
  )
)</f>
        <v>4886093</v>
      </c>
    </row>
    <row r="215" spans="1:10">
      <c r="A215">
        <v>1004</v>
      </c>
      <c r="B215" t="s">
        <v>11</v>
      </c>
      <c r="C215" t="s">
        <v>12</v>
      </c>
      <c r="D215" s="1">
        <v>45227</v>
      </c>
      <c r="E215">
        <v>4742051</v>
      </c>
      <c r="F215">
        <v>600865</v>
      </c>
      <c r="G215">
        <v>63</v>
      </c>
      <c r="H215" t="s">
        <v>10</v>
      </c>
      <c r="I215" t="str">
        <f>IF(
  F215="","Missing Cost",
  IF(
    OR(E215&lt;Outlier_Calculations!$E$1,E215&gt;Outlier_Calculations!$F$1),
    "Outlier Capped",
    "Clean"
  )
)</f>
        <v>Clean</v>
      </c>
      <c r="J215" s="3">
        <f>IF(
  E215 &lt; Outlier_Calculations!$E$1,
  Outlier_Calculations!$E$1,
  IF(
    E215 &gt; Outlier_Calculations!$F$1,
    Outlier_Calculations!$F$1,
    E215
  )
)</f>
        <v>4742051</v>
      </c>
    </row>
    <row r="216" spans="1:10">
      <c r="A216">
        <v>1070</v>
      </c>
      <c r="B216" t="s">
        <v>8</v>
      </c>
      <c r="C216" t="s">
        <v>19</v>
      </c>
      <c r="D216" s="1">
        <v>45077</v>
      </c>
      <c r="E216">
        <v>2409228</v>
      </c>
      <c r="F216">
        <v>988457</v>
      </c>
      <c r="G216">
        <v>426</v>
      </c>
      <c r="H216" t="s">
        <v>10</v>
      </c>
      <c r="I216" t="str">
        <f>IF(
  F216="","Missing Cost",
  IF(
    OR(E216&lt;Outlier_Calculations!$E$1,E216&gt;Outlier_Calculations!$F$1),
    "Outlier Capped",
    "Clean"
  )
)</f>
        <v>Clean</v>
      </c>
      <c r="J216" s="3">
        <f>IF(
  E216 &lt; Outlier_Calculations!$E$1,
  Outlier_Calculations!$E$1,
  IF(
    E216 &gt; Outlier_Calculations!$F$1,
    Outlier_Calculations!$F$1,
    E216
  )
)</f>
        <v>2409228</v>
      </c>
    </row>
    <row r="217" spans="1:10">
      <c r="A217">
        <v>1072</v>
      </c>
      <c r="B217" t="s">
        <v>13</v>
      </c>
      <c r="C217" t="s">
        <v>9</v>
      </c>
      <c r="D217" s="1">
        <v>44957</v>
      </c>
      <c r="E217">
        <v>325579</v>
      </c>
      <c r="F217">
        <v>3260358</v>
      </c>
      <c r="G217">
        <v>166</v>
      </c>
      <c r="H217" t="s">
        <v>18</v>
      </c>
      <c r="I217" t="str">
        <f>IF(
  F217="","Missing Cost",
  IF(
    OR(E217&lt;Outlier_Calculations!$E$1,E217&gt;Outlier_Calculations!$F$1),
    "Outlier Capped",
    "Clean"
  )
)</f>
        <v>Clean</v>
      </c>
      <c r="J217" s="3">
        <f>IF(
  E217 &lt; Outlier_Calculations!$E$1,
  Outlier_Calculations!$E$1,
  IF(
    E217 &gt; Outlier_Calculations!$F$1,
    Outlier_Calculations!$F$1,
    E217
  )
)</f>
        <v>325579</v>
      </c>
    </row>
    <row r="218" spans="1:10">
      <c r="A218">
        <v>1096</v>
      </c>
      <c r="B218" t="s">
        <v>11</v>
      </c>
      <c r="C218" t="s">
        <v>12</v>
      </c>
      <c r="D218" s="1">
        <v>44987</v>
      </c>
      <c r="E218">
        <v>3298769</v>
      </c>
      <c r="F218">
        <v>1363159</v>
      </c>
      <c r="G218">
        <v>236</v>
      </c>
      <c r="H218" t="s">
        <v>15</v>
      </c>
      <c r="I218" t="str">
        <f>IF(
  F218="","Missing Cost",
  IF(
    OR(E218&lt;Outlier_Calculations!$E$1,E218&gt;Outlier_Calculations!$F$1),
    "Outlier Capped",
    "Clean"
  )
)</f>
        <v>Clean</v>
      </c>
      <c r="J218" s="3">
        <f>IF(
  E218 &lt; Outlier_Calculations!$E$1,
  Outlier_Calculations!$E$1,
  IF(
    E218 &gt; Outlier_Calculations!$F$1,
    Outlier_Calculations!$F$1,
    E218
  )
)</f>
        <v>3298769</v>
      </c>
    </row>
    <row r="219" spans="1:10">
      <c r="A219">
        <v>1038</v>
      </c>
      <c r="B219" t="s">
        <v>21</v>
      </c>
      <c r="C219" t="s">
        <v>17</v>
      </c>
      <c r="D219" s="1">
        <v>44927</v>
      </c>
      <c r="E219">
        <v>1954721</v>
      </c>
      <c r="F219">
        <v>1217299</v>
      </c>
      <c r="G219">
        <v>451</v>
      </c>
      <c r="H219" t="s">
        <v>20</v>
      </c>
      <c r="I219" t="str">
        <f>IF(
  F219="","Missing Cost",
  IF(
    OR(E219&lt;Outlier_Calculations!$E$1,E219&gt;Outlier_Calculations!$F$1),
    "Outlier Capped",
    "Clean"
  )
)</f>
        <v>Clean</v>
      </c>
      <c r="J219" s="3">
        <f>IF(
  E219 &lt; Outlier_Calculations!$E$1,
  Outlier_Calculations!$E$1,
  IF(
    E219 &gt; Outlier_Calculations!$F$1,
    Outlier_Calculations!$F$1,
    E219
  )
)</f>
        <v>1954721</v>
      </c>
    </row>
    <row r="220" spans="1:10">
      <c r="A220">
        <v>1013</v>
      </c>
      <c r="B220" t="s">
        <v>13</v>
      </c>
      <c r="C220" t="s">
        <v>19</v>
      </c>
      <c r="D220" s="1">
        <v>45017</v>
      </c>
      <c r="E220">
        <v>2672514</v>
      </c>
      <c r="F220">
        <v>1329726</v>
      </c>
      <c r="G220">
        <v>149</v>
      </c>
      <c r="H220" t="s">
        <v>15</v>
      </c>
      <c r="I220" t="str">
        <f>IF(
  F220="","Missing Cost",
  IF(
    OR(E220&lt;Outlier_Calculations!$E$1,E220&gt;Outlier_Calculations!$F$1),
    "Outlier Capped",
    "Clean"
  )
)</f>
        <v>Clean</v>
      </c>
      <c r="J220" s="3">
        <f>IF(
  E220 &lt; Outlier_Calculations!$E$1,
  Outlier_Calculations!$E$1,
  IF(
    E220 &gt; Outlier_Calculations!$F$1,
    Outlier_Calculations!$F$1,
    E220
  )
)</f>
        <v>2672514</v>
      </c>
    </row>
    <row r="221" spans="1:10">
      <c r="A221">
        <v>1011</v>
      </c>
      <c r="B221" t="s">
        <v>13</v>
      </c>
      <c r="C221" t="s">
        <v>12</v>
      </c>
      <c r="D221" s="1">
        <v>45167</v>
      </c>
      <c r="E221">
        <v>1588927</v>
      </c>
      <c r="F221">
        <v>1528912</v>
      </c>
      <c r="G221">
        <v>485</v>
      </c>
      <c r="H221" t="s">
        <v>18</v>
      </c>
      <c r="I221" t="str">
        <f>IF(
  F221="","Missing Cost",
  IF(
    OR(E221&lt;Outlier_Calculations!$E$1,E221&gt;Outlier_Calculations!$F$1),
    "Outlier Capped",
    "Clean"
  )
)</f>
        <v>Clean</v>
      </c>
      <c r="J221" s="3">
        <f>IF(
  E221 &lt; Outlier_Calculations!$E$1,
  Outlier_Calculations!$E$1,
  IF(
    E221 &gt; Outlier_Calculations!$F$1,
    Outlier_Calculations!$F$1,
    E221
  )
)</f>
        <v>1588927</v>
      </c>
    </row>
    <row r="222" spans="1:10">
      <c r="A222">
        <v>1048</v>
      </c>
      <c r="B222" t="s">
        <v>13</v>
      </c>
      <c r="C222" t="s">
        <v>17</v>
      </c>
      <c r="D222" s="1">
        <v>45197</v>
      </c>
      <c r="E222">
        <v>2921141</v>
      </c>
      <c r="F222">
        <v>1458677</v>
      </c>
      <c r="G222">
        <v>427</v>
      </c>
      <c r="H222" t="s">
        <v>10</v>
      </c>
      <c r="I222" t="str">
        <f>IF(
  F222="","Missing Cost",
  IF(
    OR(E222&lt;Outlier_Calculations!$E$1,E222&gt;Outlier_Calculations!$F$1),
    "Outlier Capped",
    "Clean"
  )
)</f>
        <v>Clean</v>
      </c>
      <c r="J222" s="3">
        <f>IF(
  E222 &lt; Outlier_Calculations!$E$1,
  Outlier_Calculations!$E$1,
  IF(
    E222 &gt; Outlier_Calculations!$F$1,
    Outlier_Calculations!$F$1,
    E222
  )
)</f>
        <v>2921141</v>
      </c>
    </row>
    <row r="223" spans="1:10">
      <c r="A223">
        <v>1063</v>
      </c>
      <c r="B223" t="s">
        <v>21</v>
      </c>
      <c r="C223" t="s">
        <v>19</v>
      </c>
      <c r="D223" s="1">
        <v>44927</v>
      </c>
      <c r="E223">
        <v>1229148</v>
      </c>
      <c r="F223">
        <v>278515</v>
      </c>
      <c r="G223">
        <v>342</v>
      </c>
      <c r="H223" t="s">
        <v>18</v>
      </c>
      <c r="I223" t="str">
        <f>IF(
  F223="","Missing Cost",
  IF(
    OR(E223&lt;Outlier_Calculations!$E$1,E223&gt;Outlier_Calculations!$F$1),
    "Outlier Capped",
    "Clean"
  )
)</f>
        <v>Clean</v>
      </c>
      <c r="J223" s="3">
        <f>IF(
  E223 &lt; Outlier_Calculations!$E$1,
  Outlier_Calculations!$E$1,
  IF(
    E223 &gt; Outlier_Calculations!$F$1,
    Outlier_Calculations!$F$1,
    E223
  )
)</f>
        <v>1229148</v>
      </c>
    </row>
    <row r="224" spans="1:10">
      <c r="A224">
        <v>1054</v>
      </c>
      <c r="B224" t="s">
        <v>16</v>
      </c>
      <c r="C224" t="s">
        <v>9</v>
      </c>
      <c r="D224" s="1">
        <v>45017</v>
      </c>
      <c r="E224">
        <v>1196104</v>
      </c>
      <c r="F224">
        <v>3433292</v>
      </c>
      <c r="G224">
        <v>377</v>
      </c>
      <c r="H224" t="s">
        <v>20</v>
      </c>
      <c r="I224" t="str">
        <f>IF(
  F224="","Missing Cost",
  IF(
    OR(E224&lt;Outlier_Calculations!$E$1,E224&gt;Outlier_Calculations!$F$1),
    "Outlier Capped",
    "Clean"
  )
)</f>
        <v>Clean</v>
      </c>
      <c r="J224" s="3">
        <f>IF(
  E224 &lt; Outlier_Calculations!$E$1,
  Outlier_Calculations!$E$1,
  IF(
    E224 &gt; Outlier_Calculations!$F$1,
    Outlier_Calculations!$F$1,
    E224
  )
)</f>
        <v>1196104</v>
      </c>
    </row>
    <row r="225" spans="1:10">
      <c r="A225">
        <v>1007</v>
      </c>
      <c r="B225" t="s">
        <v>13</v>
      </c>
      <c r="C225" t="s">
        <v>19</v>
      </c>
      <c r="D225" s="1">
        <v>45197</v>
      </c>
      <c r="E225">
        <v>3937541</v>
      </c>
      <c r="F225">
        <v>2838083</v>
      </c>
      <c r="G225">
        <v>68</v>
      </c>
      <c r="H225" t="s">
        <v>10</v>
      </c>
      <c r="I225" t="str">
        <f>IF(
  F225="","Missing Cost",
  IF(
    OR(E225&lt;Outlier_Calculations!$E$1,E225&gt;Outlier_Calculations!$F$1),
    "Outlier Capped",
    "Clean"
  )
)</f>
        <v>Clean</v>
      </c>
      <c r="J225" s="3">
        <f>IF(
  E225 &lt; Outlier_Calculations!$E$1,
  Outlier_Calculations!$E$1,
  IF(
    E225 &gt; Outlier_Calculations!$F$1,
    Outlier_Calculations!$F$1,
    E225
  )
)</f>
        <v>3937541</v>
      </c>
    </row>
    <row r="226" spans="1:10">
      <c r="A226">
        <v>1073</v>
      </c>
      <c r="B226" t="s">
        <v>21</v>
      </c>
      <c r="C226" t="s">
        <v>22</v>
      </c>
      <c r="D226" s="1">
        <v>45017</v>
      </c>
      <c r="E226">
        <v>15900140</v>
      </c>
      <c r="F226">
        <v>2673147</v>
      </c>
      <c r="G226">
        <v>114</v>
      </c>
      <c r="H226" t="s">
        <v>20</v>
      </c>
      <c r="I226" t="str">
        <f>IF(
  F226="","Missing Cost",
  IF(
    OR(E226&lt;Outlier_Calculations!$E$1,E226&gt;Outlier_Calculations!$F$1),
    "Outlier Capped",
    "Clean"
  )
)</f>
        <v>Outlier Capped</v>
      </c>
      <c r="J226" s="3">
        <f>IF(
  E226 &lt; Outlier_Calculations!$E$1,
  Outlier_Calculations!$E$1,
  IF(
    E226 &gt; Outlier_Calculations!$F$1,
    Outlier_Calculations!$F$1,
    E226
  )
)</f>
        <v>5762979.375</v>
      </c>
    </row>
    <row r="227" spans="1:10">
      <c r="A227">
        <v>1017</v>
      </c>
      <c r="B227" t="s">
        <v>8</v>
      </c>
      <c r="C227" t="s">
        <v>12</v>
      </c>
      <c r="D227" s="1">
        <v>45107</v>
      </c>
      <c r="E227">
        <v>938113</v>
      </c>
      <c r="F227">
        <v>1707586</v>
      </c>
      <c r="G227">
        <v>120</v>
      </c>
      <c r="H227" t="s">
        <v>20</v>
      </c>
      <c r="I227" t="str">
        <f>IF(
  F227="","Missing Cost",
  IF(
    OR(E227&lt;Outlier_Calculations!$E$1,E227&gt;Outlier_Calculations!$F$1),
    "Outlier Capped",
    "Clean"
  )
)</f>
        <v>Clean</v>
      </c>
      <c r="J227" s="3">
        <f>IF(
  E227 &lt; Outlier_Calculations!$E$1,
  Outlier_Calculations!$E$1,
  IF(
    E227 &gt; Outlier_Calculations!$F$1,
    Outlier_Calculations!$F$1,
    E227
  )
)</f>
        <v>938113</v>
      </c>
    </row>
    <row r="228" spans="1:10">
      <c r="A228">
        <v>1076</v>
      </c>
      <c r="B228" t="s">
        <v>13</v>
      </c>
      <c r="C228" t="s">
        <v>12</v>
      </c>
      <c r="D228" s="1">
        <v>45167</v>
      </c>
      <c r="E228">
        <v>1188537</v>
      </c>
      <c r="F228">
        <v>615173</v>
      </c>
      <c r="G228">
        <v>420</v>
      </c>
      <c r="H228" t="s">
        <v>20</v>
      </c>
      <c r="I228" t="str">
        <f>IF(
  F228="","Missing Cost",
  IF(
    OR(E228&lt;Outlier_Calculations!$E$1,E228&gt;Outlier_Calculations!$F$1),
    "Outlier Capped",
    "Clean"
  )
)</f>
        <v>Clean</v>
      </c>
      <c r="J228" s="3">
        <f>IF(
  E228 &lt; Outlier_Calculations!$E$1,
  Outlier_Calculations!$E$1,
  IF(
    E228 &gt; Outlier_Calculations!$F$1,
    Outlier_Calculations!$F$1,
    E228
  )
)</f>
        <v>1188537</v>
      </c>
    </row>
    <row r="229" spans="1:10">
      <c r="A229">
        <v>1021</v>
      </c>
      <c r="B229" t="s">
        <v>16</v>
      </c>
      <c r="C229" t="s">
        <v>9</v>
      </c>
      <c r="D229" s="1">
        <v>45107</v>
      </c>
      <c r="E229">
        <v>1957556</v>
      </c>
      <c r="F229">
        <v>2509093</v>
      </c>
      <c r="G229">
        <v>207</v>
      </c>
      <c r="H229" t="s">
        <v>15</v>
      </c>
      <c r="I229" t="str">
        <f>IF(
  F229="","Missing Cost",
  IF(
    OR(E229&lt;Outlier_Calculations!$E$1,E229&gt;Outlier_Calculations!$F$1),
    "Outlier Capped",
    "Clean"
  )
)</f>
        <v>Clean</v>
      </c>
      <c r="J229" s="3">
        <f>IF(
  E229 &lt; Outlier_Calculations!$E$1,
  Outlier_Calculations!$E$1,
  IF(
    E229 &gt; Outlier_Calculations!$F$1,
    Outlier_Calculations!$F$1,
    E229
  )
)</f>
        <v>1957556</v>
      </c>
    </row>
    <row r="230" spans="1:10">
      <c r="A230">
        <v>1079</v>
      </c>
      <c r="B230" t="s">
        <v>11</v>
      </c>
      <c r="C230" t="s">
        <v>14</v>
      </c>
      <c r="D230" s="1">
        <v>45017</v>
      </c>
      <c r="E230">
        <v>2970150</v>
      </c>
      <c r="F230">
        <v>1063823</v>
      </c>
      <c r="G230">
        <v>248</v>
      </c>
      <c r="H230" t="s">
        <v>10</v>
      </c>
      <c r="I230" t="str">
        <f>IF(
  F230="","Missing Cost",
  IF(
    OR(E230&lt;Outlier_Calculations!$E$1,E230&gt;Outlier_Calculations!$F$1),
    "Outlier Capped",
    "Clean"
  )
)</f>
        <v>Clean</v>
      </c>
      <c r="J230" s="3">
        <f>IF(
  E230 &lt; Outlier_Calculations!$E$1,
  Outlier_Calculations!$E$1,
  IF(
    E230 &gt; Outlier_Calculations!$F$1,
    Outlier_Calculations!$F$1,
    E230
  )
)</f>
        <v>2970150</v>
      </c>
    </row>
    <row r="231" spans="1:10">
      <c r="A231">
        <v>1062</v>
      </c>
      <c r="B231" t="s">
        <v>13</v>
      </c>
      <c r="C231" t="s">
        <v>17</v>
      </c>
      <c r="D231" s="1">
        <v>44927</v>
      </c>
      <c r="E231">
        <v>2208864</v>
      </c>
      <c r="F231">
        <v>3297525</v>
      </c>
      <c r="G231">
        <v>391</v>
      </c>
      <c r="H231" t="s">
        <v>15</v>
      </c>
      <c r="I231" t="str">
        <f>IF(
  F231="","Missing Cost",
  IF(
    OR(E231&lt;Outlier_Calculations!$E$1,E231&gt;Outlier_Calculations!$F$1),
    "Outlier Capped",
    "Clean"
  )
)</f>
        <v>Clean</v>
      </c>
      <c r="J231" s="3">
        <f>IF(
  E231 &lt; Outlier_Calculations!$E$1,
  Outlier_Calculations!$E$1,
  IF(
    E231 &gt; Outlier_Calculations!$F$1,
    Outlier_Calculations!$F$1,
    E231
  )
)</f>
        <v>2208864</v>
      </c>
    </row>
    <row r="232" spans="1:10">
      <c r="A232">
        <v>1031</v>
      </c>
      <c r="B232" t="s">
        <v>8</v>
      </c>
      <c r="C232" t="s">
        <v>9</v>
      </c>
      <c r="D232" s="1">
        <v>45197</v>
      </c>
      <c r="E232">
        <v>-4591400</v>
      </c>
      <c r="F232">
        <v>2173787</v>
      </c>
      <c r="G232">
        <v>238</v>
      </c>
      <c r="H232" t="s">
        <v>18</v>
      </c>
      <c r="I232" t="str">
        <f>IF(
  F232="","Missing Cost",
  IF(
    OR(E232&lt;Outlier_Calculations!$E$1,E232&gt;Outlier_Calculations!$F$1),
    "Outlier Capped",
    "Clean"
  )
)</f>
        <v>Outlier Capped</v>
      </c>
      <c r="J232" s="3">
        <f>IF(
  E232 &lt; Outlier_Calculations!$E$1,
  Outlier_Calculations!$E$1,
  IF(
    E232 &gt; Outlier_Calculations!$F$1,
    Outlier_Calculations!$F$1,
    E232
  )
)</f>
        <v>-1939863.625</v>
      </c>
    </row>
    <row r="233" spans="1:10">
      <c r="A233">
        <v>1002</v>
      </c>
      <c r="B233" t="s">
        <v>11</v>
      </c>
      <c r="C233" t="s">
        <v>9</v>
      </c>
      <c r="D233" s="1">
        <v>45167</v>
      </c>
      <c r="E233">
        <v>1093356</v>
      </c>
      <c r="F233">
        <v>3544202</v>
      </c>
      <c r="G233">
        <v>416</v>
      </c>
      <c r="H233" t="s">
        <v>10</v>
      </c>
      <c r="I233" t="str">
        <f>IF(
  F233="","Missing Cost",
  IF(
    OR(E233&lt;Outlier_Calculations!$E$1,E233&gt;Outlier_Calculations!$F$1),
    "Outlier Capped",
    "Clean"
  )
)</f>
        <v>Clean</v>
      </c>
      <c r="J233" s="3">
        <f>IF(
  E233 &lt; Outlier_Calculations!$E$1,
  Outlier_Calculations!$E$1,
  IF(
    E233 &gt; Outlier_Calculations!$F$1,
    Outlier_Calculations!$F$1,
    E233
  )
)</f>
        <v>1093356</v>
      </c>
    </row>
    <row r="234" spans="1:10">
      <c r="A234">
        <v>1029</v>
      </c>
      <c r="B234" t="s">
        <v>8</v>
      </c>
      <c r="C234" t="s">
        <v>17</v>
      </c>
      <c r="D234" s="1">
        <v>45137</v>
      </c>
      <c r="E234">
        <v>2257215</v>
      </c>
      <c r="F234">
        <v>1957620</v>
      </c>
      <c r="G234">
        <v>310</v>
      </c>
      <c r="H234" t="s">
        <v>15</v>
      </c>
      <c r="I234" t="str">
        <f>IF(
  F234="","Missing Cost",
  IF(
    OR(E234&lt;Outlier_Calculations!$E$1,E234&gt;Outlier_Calculations!$F$1),
    "Outlier Capped",
    "Clean"
  )
)</f>
        <v>Clean</v>
      </c>
      <c r="J234" s="3">
        <f>IF(
  E234 &lt; Outlier_Calculations!$E$1,
  Outlier_Calculations!$E$1,
  IF(
    E234 &gt; Outlier_Calculations!$F$1,
    Outlier_Calculations!$F$1,
    E234
  )
)</f>
        <v>2257215</v>
      </c>
    </row>
    <row r="235" spans="1:10">
      <c r="A235">
        <v>1097</v>
      </c>
      <c r="B235" t="s">
        <v>21</v>
      </c>
      <c r="C235" t="s">
        <v>19</v>
      </c>
      <c r="D235" s="1">
        <v>45197</v>
      </c>
      <c r="E235">
        <v>1336802</v>
      </c>
      <c r="F235">
        <v>1374423</v>
      </c>
      <c r="G235">
        <v>335</v>
      </c>
      <c r="H235" t="s">
        <v>18</v>
      </c>
      <c r="I235" t="str">
        <f>IF(
  F235="","Missing Cost",
  IF(
    OR(E235&lt;Outlier_Calculations!$E$1,E235&gt;Outlier_Calculations!$F$1),
    "Outlier Capped",
    "Clean"
  )
)</f>
        <v>Clean</v>
      </c>
      <c r="J235" s="3">
        <f>IF(
  E235 &lt; Outlier_Calculations!$E$1,
  Outlier_Calculations!$E$1,
  IF(
    E235 &gt; Outlier_Calculations!$F$1,
    Outlier_Calculations!$F$1,
    E235
  )
)</f>
        <v>1336802</v>
      </c>
    </row>
    <row r="236" spans="1:10">
      <c r="A236">
        <v>1004</v>
      </c>
      <c r="B236" t="s">
        <v>16</v>
      </c>
      <c r="C236" t="s">
        <v>14</v>
      </c>
      <c r="D236" s="1">
        <v>44927</v>
      </c>
      <c r="E236">
        <v>3781813</v>
      </c>
      <c r="F236">
        <v>1811973</v>
      </c>
      <c r="G236">
        <v>438</v>
      </c>
      <c r="H236" t="s">
        <v>15</v>
      </c>
      <c r="I236" t="str">
        <f>IF(
  F236="","Missing Cost",
  IF(
    OR(E236&lt;Outlier_Calculations!$E$1,E236&gt;Outlier_Calculations!$F$1),
    "Outlier Capped",
    "Clean"
  )
)</f>
        <v>Clean</v>
      </c>
      <c r="J236" s="3">
        <f>IF(
  E236 &lt; Outlier_Calculations!$E$1,
  Outlier_Calculations!$E$1,
  IF(
    E236 &gt; Outlier_Calculations!$F$1,
    Outlier_Calculations!$F$1,
    E236
  )
)</f>
        <v>3781813</v>
      </c>
    </row>
    <row r="237" spans="1:10">
      <c r="A237">
        <v>1060</v>
      </c>
      <c r="B237" t="s">
        <v>13</v>
      </c>
      <c r="C237" t="s">
        <v>14</v>
      </c>
      <c r="D237" s="1">
        <v>45017</v>
      </c>
      <c r="E237">
        <v>3829559</v>
      </c>
      <c r="F237">
        <v>2765760</v>
      </c>
      <c r="G237">
        <v>495</v>
      </c>
      <c r="H237" t="s">
        <v>15</v>
      </c>
      <c r="I237" t="str">
        <f>IF(
  F237="","Missing Cost",
  IF(
    OR(E237&lt;Outlier_Calculations!$E$1,E237&gt;Outlier_Calculations!$F$1),
    "Outlier Capped",
    "Clean"
  )
)</f>
        <v>Clean</v>
      </c>
      <c r="J237" s="3">
        <f>IF(
  E237 &lt; Outlier_Calculations!$E$1,
  Outlier_Calculations!$E$1,
  IF(
    E237 &gt; Outlier_Calculations!$F$1,
    Outlier_Calculations!$F$1,
    E237
  )
)</f>
        <v>3829559</v>
      </c>
    </row>
    <row r="238" spans="1:10">
      <c r="A238">
        <v>1020</v>
      </c>
      <c r="B238" t="s">
        <v>13</v>
      </c>
      <c r="C238" t="s">
        <v>17</v>
      </c>
      <c r="D238" s="1">
        <v>45137</v>
      </c>
      <c r="E238">
        <v>3767103</v>
      </c>
      <c r="F238">
        <v>2291574</v>
      </c>
      <c r="G238">
        <v>276</v>
      </c>
      <c r="H238" t="s">
        <v>20</v>
      </c>
      <c r="I238" t="str">
        <f>IF(
  F238="","Missing Cost",
  IF(
    OR(E238&lt;Outlier_Calculations!$E$1,E238&gt;Outlier_Calculations!$F$1),
    "Outlier Capped",
    "Clean"
  )
)</f>
        <v>Clean</v>
      </c>
      <c r="J238" s="3">
        <f>IF(
  E238 &lt; Outlier_Calculations!$E$1,
  Outlier_Calculations!$E$1,
  IF(
    E238 &gt; Outlier_Calculations!$F$1,
    Outlier_Calculations!$F$1,
    E238
  )
)</f>
        <v>3767103</v>
      </c>
    </row>
    <row r="239" spans="1:10">
      <c r="A239">
        <v>1072</v>
      </c>
      <c r="B239" t="s">
        <v>21</v>
      </c>
      <c r="C239" t="s">
        <v>9</v>
      </c>
      <c r="D239" s="1">
        <v>45107</v>
      </c>
      <c r="E239">
        <v>2552615</v>
      </c>
      <c r="F239">
        <v>897685</v>
      </c>
      <c r="G239">
        <v>42</v>
      </c>
      <c r="H239" t="s">
        <v>20</v>
      </c>
      <c r="I239" t="str">
        <f>IF(
  F239="","Missing Cost",
  IF(
    OR(E239&lt;Outlier_Calculations!$E$1,E239&gt;Outlier_Calculations!$F$1),
    "Outlier Capped",
    "Clean"
  )
)</f>
        <v>Clean</v>
      </c>
      <c r="J239" s="3">
        <f>IF(
  E239 &lt; Outlier_Calculations!$E$1,
  Outlier_Calculations!$E$1,
  IF(
    E239 &gt; Outlier_Calculations!$F$1,
    Outlier_Calculations!$F$1,
    E239
  )
)</f>
        <v>2552615</v>
      </c>
    </row>
    <row r="240" spans="1:10">
      <c r="A240">
        <v>1046</v>
      </c>
      <c r="B240" t="s">
        <v>8</v>
      </c>
      <c r="C240" t="s">
        <v>12</v>
      </c>
      <c r="D240" s="1">
        <v>44927</v>
      </c>
      <c r="E240">
        <v>2799448</v>
      </c>
      <c r="F240">
        <v>3903778</v>
      </c>
      <c r="G240">
        <v>225</v>
      </c>
      <c r="H240" t="s">
        <v>15</v>
      </c>
      <c r="I240" t="str">
        <f>IF(
  F240="","Missing Cost",
  IF(
    OR(E240&lt;Outlier_Calculations!$E$1,E240&gt;Outlier_Calculations!$F$1),
    "Outlier Capped",
    "Clean"
  )
)</f>
        <v>Clean</v>
      </c>
      <c r="J240" s="3">
        <f>IF(
  E240 &lt; Outlier_Calculations!$E$1,
  Outlier_Calculations!$E$1,
  IF(
    E240 &gt; Outlier_Calculations!$F$1,
    Outlier_Calculations!$F$1,
    E240
  )
)</f>
        <v>2799448</v>
      </c>
    </row>
    <row r="241" spans="1:10">
      <c r="A241">
        <v>1055</v>
      </c>
      <c r="B241" t="s">
        <v>21</v>
      </c>
      <c r="C241" t="s">
        <v>14</v>
      </c>
      <c r="D241" s="1">
        <v>45107</v>
      </c>
      <c r="E241">
        <v>3770519</v>
      </c>
      <c r="F241">
        <v>2128968</v>
      </c>
      <c r="G241">
        <v>281</v>
      </c>
      <c r="H241" t="s">
        <v>10</v>
      </c>
      <c r="I241" t="str">
        <f>IF(
  F241="","Missing Cost",
  IF(
    OR(E241&lt;Outlier_Calculations!$E$1,E241&gt;Outlier_Calculations!$F$1),
    "Outlier Capped",
    "Clean"
  )
)</f>
        <v>Clean</v>
      </c>
      <c r="J241" s="3">
        <f>IF(
  E241 &lt; Outlier_Calculations!$E$1,
  Outlier_Calculations!$E$1,
  IF(
    E241 &gt; Outlier_Calculations!$F$1,
    Outlier_Calculations!$F$1,
    E241
  )
)</f>
        <v>3770519</v>
      </c>
    </row>
    <row r="242" spans="1:10">
      <c r="I242" s="3"/>
      <c r="J242" s="3"/>
    </row>
    <row r="243" spans="1:10">
      <c r="I243" s="3"/>
      <c r="J243" s="3"/>
    </row>
    <row r="244" spans="1:10">
      <c r="I244" s="3"/>
      <c r="J244" s="3"/>
    </row>
    <row r="245" spans="1:10">
      <c r="I245" s="3"/>
      <c r="J245" s="3"/>
    </row>
    <row r="246" spans="1:10">
      <c r="I246" s="3"/>
      <c r="J246" s="3"/>
    </row>
    <row r="247" spans="1:10">
      <c r="I247" s="3"/>
      <c r="J247" s="3"/>
    </row>
    <row r="248" spans="1:10">
      <c r="I248" s="3"/>
      <c r="J248" s="3"/>
    </row>
    <row r="249" spans="1:10">
      <c r="I249" s="3"/>
      <c r="J249" s="3"/>
    </row>
    <row r="250" spans="1:10">
      <c r="I250" s="3"/>
      <c r="J250" s="3"/>
    </row>
    <row r="251" spans="1:10">
      <c r="I251" s="3"/>
      <c r="J251" s="3"/>
    </row>
    <row r="252" spans="1:10">
      <c r="I252" s="3"/>
      <c r="J252" s="3"/>
    </row>
    <row r="253" spans="1:10">
      <c r="I253" s="3"/>
      <c r="J253" s="3"/>
    </row>
    <row r="254" spans="1:10">
      <c r="I254" s="3"/>
      <c r="J254" s="3"/>
    </row>
    <row r="255" spans="1:10">
      <c r="I255" s="3"/>
      <c r="J255" s="3"/>
    </row>
    <row r="256" spans="1:10">
      <c r="I256" s="3"/>
      <c r="J256" s="3"/>
    </row>
  </sheetData>
  <autoFilter ref="A1:J256" xr:uid="{E8454BCE-F957-4A85-9B3E-E8E2051647D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946C-2400-4E97-8E86-C1B26A61053A}">
  <dimension ref="A1:G256"/>
  <sheetViews>
    <sheetView topLeftCell="D1" workbookViewId="0">
      <selection activeCell="M9" sqref="M9"/>
    </sheetView>
  </sheetViews>
  <sheetFormatPr defaultRowHeight="15"/>
  <cols>
    <col min="1" max="1" width="19.140625" bestFit="1" customWidth="1"/>
    <col min="2" max="2" width="36.5703125" bestFit="1" customWidth="1"/>
    <col min="3" max="3" width="20.42578125" bestFit="1" customWidth="1"/>
    <col min="4" max="4" width="23" bestFit="1" customWidth="1"/>
    <col min="7" max="7" width="18.28515625" bestFit="1" customWidth="1"/>
  </cols>
  <sheetData>
    <row r="1" spans="1:7">
      <c r="A1" s="2" t="s">
        <v>1</v>
      </c>
      <c r="B1" s="2" t="s">
        <v>25</v>
      </c>
      <c r="D1" s="5" t="s">
        <v>26</v>
      </c>
    </row>
    <row r="2" spans="1:7" ht="45.75">
      <c r="A2" t="s">
        <v>11</v>
      </c>
      <c r="B2" s="3" cm="1">
        <f t="array" ref="B2">MEDIAN(IF(Working_Copy!B:B="Financial Services", Working_Copy!F:F))</f>
        <v>1134328</v>
      </c>
      <c r="D2">
        <f>IF(ISBLANK(Working_Copy!F2), VLOOKUP(Working_Copy!B2, Data_Imputation!$A$2:$B$10, 2, FALSE), Working_Copy!F2)</f>
        <v>1635977</v>
      </c>
      <c r="G2" t="s">
        <v>27</v>
      </c>
    </row>
    <row r="3" spans="1:7">
      <c r="A3" t="s">
        <v>13</v>
      </c>
      <c r="B3" cm="1">
        <f t="array" ref="B3">MEDIAN(IF(Working_Copy!B:B="Healthcare", Working_Copy!F:F))</f>
        <v>1584746.5</v>
      </c>
      <c r="D3">
        <f>IF(ISBLANK(Working_Copy!F3), VLOOKUP(Working_Copy!B3, Data_Imputation!$A$2:$B$10, 2, FALSE), Working_Copy!F3)</f>
        <v>2338410</v>
      </c>
    </row>
    <row r="4" spans="1:7">
      <c r="A4" t="s">
        <v>8</v>
      </c>
      <c r="B4" cm="1">
        <f t="array" ref="B4">MEDIAN(IF(Working_Copy!B:B="Manufacturing", Working_Copy!F:F))</f>
        <v>1943398.5</v>
      </c>
      <c r="D4">
        <f>IF(ISBLANK(Working_Copy!F4), VLOOKUP(Working_Copy!B4, Data_Imputation!$A$2:$B$10, 2, FALSE), Working_Copy!F4)</f>
        <v>441839</v>
      </c>
    </row>
    <row r="5" spans="1:7">
      <c r="A5" t="s">
        <v>16</v>
      </c>
      <c r="B5" cm="1">
        <f t="array" ref="B5">MEDIAN(IF(Working_Copy!B:B="Retail", Working_Copy!F:F))</f>
        <v>2455432</v>
      </c>
      <c r="D5">
        <f>IF(ISBLANK(Working_Copy!F5), VLOOKUP(Working_Copy!B5, Data_Imputation!$A$2:$B$10, 2, FALSE), Working_Copy!F5)</f>
        <v>1860224</v>
      </c>
    </row>
    <row r="6" spans="1:7">
      <c r="A6" t="s">
        <v>21</v>
      </c>
      <c r="B6" cm="1">
        <f t="array" ref="B6">MEDIAN(IF(Working_Copy!B:B="Technology", Working_Copy!F:F))</f>
        <v>2128968</v>
      </c>
      <c r="D6">
        <f>IF(ISBLANK(Working_Copy!F6), VLOOKUP(Working_Copy!B6, Data_Imputation!$A$2:$B$10, 2, FALSE), Working_Copy!F6)</f>
        <v>476215</v>
      </c>
    </row>
    <row r="7" spans="1:7">
      <c r="D7">
        <f>IF(ISBLANK(Working_Copy!F7), VLOOKUP(Working_Copy!B7, Data_Imputation!$A$2:$B$10, 2, FALSE), Working_Copy!F7)</f>
        <v>3666639</v>
      </c>
    </row>
    <row r="8" spans="1:7">
      <c r="D8">
        <f>IF(ISBLANK(Working_Copy!F8), VLOOKUP(Working_Copy!B8, Data_Imputation!$A$2:$B$10, 2, FALSE), Working_Copy!F8)</f>
        <v>3714836</v>
      </c>
    </row>
    <row r="9" spans="1:7">
      <c r="D9">
        <f>IF(ISBLANK(Working_Copy!F9), VLOOKUP(Working_Copy!B9, Data_Imputation!$A$2:$B$10, 2, FALSE), Working_Copy!F9)</f>
        <v>1845913</v>
      </c>
    </row>
    <row r="10" spans="1:7">
      <c r="D10">
        <f>IF(ISBLANK(Working_Copy!F10), VLOOKUP(Working_Copy!B10, Data_Imputation!$A$2:$B$10, 2, FALSE), Working_Copy!F10)</f>
        <v>2802690</v>
      </c>
    </row>
    <row r="11" spans="1:7">
      <c r="D11">
        <f>IF(ISBLANK(Working_Copy!F11), VLOOKUP(Working_Copy!B11, Data_Imputation!$A$2:$B$10, 2, FALSE), Working_Copy!F11)</f>
        <v>3201761</v>
      </c>
    </row>
    <row r="12" spans="1:7">
      <c r="D12">
        <f>IF(ISBLANK(Working_Copy!F12), VLOOKUP(Working_Copy!B12, Data_Imputation!$A$2:$B$10, 2, FALSE), Working_Copy!F12)</f>
        <v>3659977</v>
      </c>
    </row>
    <row r="13" spans="1:7">
      <c r="D13">
        <f>IF(ISBLANK(Working_Copy!F13), VLOOKUP(Working_Copy!B13, Data_Imputation!$A$2:$B$10, 2, FALSE), Working_Copy!F13)</f>
        <v>3013231</v>
      </c>
    </row>
    <row r="14" spans="1:7">
      <c r="D14">
        <f>IF(ISBLANK(Working_Copy!F14), VLOOKUP(Working_Copy!B14, Data_Imputation!$A$2:$B$10, 2, FALSE), Working_Copy!F14)</f>
        <v>3516451</v>
      </c>
    </row>
    <row r="15" spans="1:7">
      <c r="D15">
        <f>IF(ISBLANK(Working_Copy!F15), VLOOKUP(Working_Copy!B15, Data_Imputation!$A$2:$B$10, 2, FALSE), Working_Copy!F15)</f>
        <v>696422</v>
      </c>
    </row>
    <row r="16" spans="1:7">
      <c r="D16">
        <f>IF(ISBLANK(Working_Copy!F16), VLOOKUP(Working_Copy!B16, Data_Imputation!$A$2:$B$10, 2, FALSE), Working_Copy!F16)</f>
        <v>1141091</v>
      </c>
    </row>
    <row r="17" spans="4:4">
      <c r="D17">
        <f>IF(ISBLANK(Working_Copy!F17), VLOOKUP(Working_Copy!B17, Data_Imputation!$A$2:$B$10, 2, FALSE), Working_Copy!F17)</f>
        <v>2430792</v>
      </c>
    </row>
    <row r="18" spans="4:4">
      <c r="D18">
        <f>IF(ISBLANK(Working_Copy!F18), VLOOKUP(Working_Copy!B18, Data_Imputation!$A$2:$B$10, 2, FALSE), Working_Copy!F18)</f>
        <v>2767619</v>
      </c>
    </row>
    <row r="19" spans="4:4">
      <c r="D19">
        <f>IF(ISBLANK(Working_Copy!F19), VLOOKUP(Working_Copy!B19, Data_Imputation!$A$2:$B$10, 2, FALSE), Working_Copy!F19)</f>
        <v>517378</v>
      </c>
    </row>
    <row r="20" spans="4:4">
      <c r="D20">
        <f>IF(ISBLANK(Working_Copy!F20), VLOOKUP(Working_Copy!B20, Data_Imputation!$A$2:$B$10, 2, FALSE), Working_Copy!F20)</f>
        <v>2569056</v>
      </c>
    </row>
    <row r="21" spans="4:4">
      <c r="D21">
        <f>IF(ISBLANK(Working_Copy!F21), VLOOKUP(Working_Copy!B21, Data_Imputation!$A$2:$B$10, 2, FALSE), Working_Copy!F21)</f>
        <v>1134328</v>
      </c>
    </row>
    <row r="22" spans="4:4">
      <c r="D22">
        <f>IF(ISBLANK(Working_Copy!F22), VLOOKUP(Working_Copy!B22, Data_Imputation!$A$2:$B$10, 2, FALSE), Working_Copy!F22)</f>
        <v>1692324</v>
      </c>
    </row>
    <row r="23" spans="4:4">
      <c r="D23">
        <f>IF(ISBLANK(Working_Copy!F23), VLOOKUP(Working_Copy!B23, Data_Imputation!$A$2:$B$10, 2, FALSE), Working_Copy!F23)</f>
        <v>3380191</v>
      </c>
    </row>
    <row r="24" spans="4:4">
      <c r="D24">
        <f>IF(ISBLANK(Working_Copy!F24), VLOOKUP(Working_Copy!B24, Data_Imputation!$A$2:$B$10, 2, FALSE), Working_Copy!F24)</f>
        <v>3450001</v>
      </c>
    </row>
    <row r="25" spans="4:4">
      <c r="D25">
        <f>IF(ISBLANK(Working_Copy!F25), VLOOKUP(Working_Copy!B25, Data_Imputation!$A$2:$B$10, 2, FALSE), Working_Copy!F25)</f>
        <v>2184787</v>
      </c>
    </row>
    <row r="26" spans="4:4">
      <c r="D26">
        <f>IF(ISBLANK(Working_Copy!F26), VLOOKUP(Working_Copy!B26, Data_Imputation!$A$2:$B$10, 2, FALSE), Working_Copy!F26)</f>
        <v>208069</v>
      </c>
    </row>
    <row r="27" spans="4:4">
      <c r="D27">
        <f>IF(ISBLANK(Working_Copy!F27), VLOOKUP(Working_Copy!B27, Data_Imputation!$A$2:$B$10, 2, FALSE), Working_Copy!F27)</f>
        <v>995892</v>
      </c>
    </row>
    <row r="28" spans="4:4">
      <c r="D28">
        <f>IF(ISBLANK(Working_Copy!F28), VLOOKUP(Working_Copy!B28, Data_Imputation!$A$2:$B$10, 2, FALSE), Working_Copy!F28)</f>
        <v>3491578</v>
      </c>
    </row>
    <row r="29" spans="4:4">
      <c r="D29">
        <f>IF(ISBLANK(Working_Copy!F29), VLOOKUP(Working_Copy!B29, Data_Imputation!$A$2:$B$10, 2, FALSE), Working_Copy!F29)</f>
        <v>108337</v>
      </c>
    </row>
    <row r="30" spans="4:4">
      <c r="D30">
        <f>IF(ISBLANK(Working_Copy!F30), VLOOKUP(Working_Copy!B30, Data_Imputation!$A$2:$B$10, 2, FALSE), Working_Copy!F30)</f>
        <v>1218472</v>
      </c>
    </row>
    <row r="31" spans="4:4">
      <c r="D31">
        <f>IF(ISBLANK(Working_Copy!F31), VLOOKUP(Working_Copy!B31, Data_Imputation!$A$2:$B$10, 2, FALSE), Working_Copy!F31)</f>
        <v>3624978</v>
      </c>
    </row>
    <row r="32" spans="4:4">
      <c r="D32">
        <f>IF(ISBLANK(Working_Copy!F32), VLOOKUP(Working_Copy!B32, Data_Imputation!$A$2:$B$10, 2, FALSE), Working_Copy!F32)</f>
        <v>1298004</v>
      </c>
    </row>
    <row r="33" spans="4:4">
      <c r="D33">
        <f>IF(ISBLANK(Working_Copy!F33), VLOOKUP(Working_Copy!B33, Data_Imputation!$A$2:$B$10, 2, FALSE), Working_Copy!F33)</f>
        <v>3469585</v>
      </c>
    </row>
    <row r="34" spans="4:4">
      <c r="D34">
        <f>IF(ISBLANK(Working_Copy!F34), VLOOKUP(Working_Copy!B34, Data_Imputation!$A$2:$B$10, 2, FALSE), Working_Copy!F34)</f>
        <v>2229732</v>
      </c>
    </row>
    <row r="35" spans="4:4">
      <c r="D35">
        <f>IF(ISBLANK(Working_Copy!F35), VLOOKUP(Working_Copy!B35, Data_Imputation!$A$2:$B$10, 2, FALSE), Working_Copy!F35)</f>
        <v>1365869</v>
      </c>
    </row>
    <row r="36" spans="4:4">
      <c r="D36">
        <f>IF(ISBLANK(Working_Copy!F36), VLOOKUP(Working_Copy!B36, Data_Imputation!$A$2:$B$10, 2, FALSE), Working_Copy!F36)</f>
        <v>1027675</v>
      </c>
    </row>
    <row r="37" spans="4:4">
      <c r="D37">
        <f>IF(ISBLANK(Working_Copy!F37), VLOOKUP(Working_Copy!B37, Data_Imputation!$A$2:$B$10, 2, FALSE), Working_Copy!F37)</f>
        <v>399553</v>
      </c>
    </row>
    <row r="38" spans="4:4">
      <c r="D38">
        <f>IF(ISBLANK(Working_Copy!F38), VLOOKUP(Working_Copy!B38, Data_Imputation!$A$2:$B$10, 2, FALSE), Working_Copy!F38)</f>
        <v>2553790</v>
      </c>
    </row>
    <row r="39" spans="4:4">
      <c r="D39">
        <f>IF(ISBLANK(Working_Copy!F39), VLOOKUP(Working_Copy!B39, Data_Imputation!$A$2:$B$10, 2, FALSE), Working_Copy!F39)</f>
        <v>361418</v>
      </c>
    </row>
    <row r="40" spans="4:4">
      <c r="D40">
        <f>IF(ISBLANK(Working_Copy!F40), VLOOKUP(Working_Copy!B40, Data_Imputation!$A$2:$B$10, 2, FALSE), Working_Copy!F40)</f>
        <v>2643695</v>
      </c>
    </row>
    <row r="41" spans="4:4">
      <c r="D41">
        <f>IF(ISBLANK(Working_Copy!F41), VLOOKUP(Working_Copy!B41, Data_Imputation!$A$2:$B$10, 2, FALSE), Working_Copy!F41)</f>
        <v>1528912</v>
      </c>
    </row>
    <row r="42" spans="4:4">
      <c r="D42">
        <f>IF(ISBLANK(Working_Copy!F42), VLOOKUP(Working_Copy!B42, Data_Imputation!$A$2:$B$10, 2, FALSE), Working_Copy!F42)</f>
        <v>901178</v>
      </c>
    </row>
    <row r="43" spans="4:4">
      <c r="D43">
        <f>IF(ISBLANK(Working_Copy!F43), VLOOKUP(Working_Copy!B43, Data_Imputation!$A$2:$B$10, 2, FALSE), Working_Copy!F43)</f>
        <v>3549750</v>
      </c>
    </row>
    <row r="44" spans="4:4">
      <c r="D44">
        <f>IF(ISBLANK(Working_Copy!F44), VLOOKUP(Working_Copy!B44, Data_Imputation!$A$2:$B$10, 2, FALSE), Working_Copy!F44)</f>
        <v>2734770</v>
      </c>
    </row>
    <row r="45" spans="4:4">
      <c r="D45">
        <f>IF(ISBLANK(Working_Copy!F45), VLOOKUP(Working_Copy!B45, Data_Imputation!$A$2:$B$10, 2, FALSE), Working_Copy!F45)</f>
        <v>835637</v>
      </c>
    </row>
    <row r="46" spans="4:4">
      <c r="D46">
        <f>IF(ISBLANK(Working_Copy!F46), VLOOKUP(Working_Copy!B46, Data_Imputation!$A$2:$B$10, 2, FALSE), Working_Copy!F46)</f>
        <v>503857</v>
      </c>
    </row>
    <row r="47" spans="4:4">
      <c r="D47">
        <f>IF(ISBLANK(Working_Copy!F47), VLOOKUP(Working_Copy!B47, Data_Imputation!$A$2:$B$10, 2, FALSE), Working_Copy!F47)</f>
        <v>1528912</v>
      </c>
    </row>
    <row r="48" spans="4:4">
      <c r="D48">
        <f>IF(ISBLANK(Working_Copy!F48), VLOOKUP(Working_Copy!B48, Data_Imputation!$A$2:$B$10, 2, FALSE), Working_Copy!F48)</f>
        <v>2491954</v>
      </c>
    </row>
    <row r="49" spans="4:4">
      <c r="D49">
        <f>IF(ISBLANK(Working_Copy!F49), VLOOKUP(Working_Copy!B49, Data_Imputation!$A$2:$B$10, 2, FALSE), Working_Copy!F49)</f>
        <v>2604791</v>
      </c>
    </row>
    <row r="50" spans="4:4">
      <c r="D50">
        <f>IF(ISBLANK(Working_Copy!F50), VLOOKUP(Working_Copy!B50, Data_Imputation!$A$2:$B$10, 2, FALSE), Working_Copy!F50)</f>
        <v>3992425</v>
      </c>
    </row>
    <row r="51" spans="4:4">
      <c r="D51">
        <f>IF(ISBLANK(Working_Copy!F51), VLOOKUP(Working_Copy!B51, Data_Imputation!$A$2:$B$10, 2, FALSE), Working_Copy!F51)</f>
        <v>3605049</v>
      </c>
    </row>
    <row r="52" spans="4:4">
      <c r="D52">
        <f>IF(ISBLANK(Working_Copy!F52), VLOOKUP(Working_Copy!B52, Data_Imputation!$A$2:$B$10, 2, FALSE), Working_Copy!F52)</f>
        <v>3646295</v>
      </c>
    </row>
    <row r="53" spans="4:4">
      <c r="D53">
        <f>IF(ISBLANK(Working_Copy!F53), VLOOKUP(Working_Copy!B53, Data_Imputation!$A$2:$B$10, 2, FALSE), Working_Copy!F53)</f>
        <v>3016380</v>
      </c>
    </row>
    <row r="54" spans="4:4">
      <c r="D54">
        <f>IF(ISBLANK(Working_Copy!F54), VLOOKUP(Working_Copy!B54, Data_Imputation!$A$2:$B$10, 2, FALSE), Working_Copy!F54)</f>
        <v>1253354</v>
      </c>
    </row>
    <row r="55" spans="4:4">
      <c r="D55">
        <f>IF(ISBLANK(Working_Copy!F55), VLOOKUP(Working_Copy!B55, Data_Imputation!$A$2:$B$10, 2, FALSE), Working_Copy!F55)</f>
        <v>3235056</v>
      </c>
    </row>
    <row r="56" spans="4:4">
      <c r="D56">
        <f>IF(ISBLANK(Working_Copy!F56), VLOOKUP(Working_Copy!B56, Data_Imputation!$A$2:$B$10, 2, FALSE), Working_Copy!F56)</f>
        <v>1204833</v>
      </c>
    </row>
    <row r="57" spans="4:4">
      <c r="D57">
        <f>IF(ISBLANK(Working_Copy!F57), VLOOKUP(Working_Copy!B57, Data_Imputation!$A$2:$B$10, 2, FALSE), Working_Copy!F57)</f>
        <v>2472242</v>
      </c>
    </row>
    <row r="58" spans="4:4">
      <c r="D58">
        <f>IF(ISBLANK(Working_Copy!F58), VLOOKUP(Working_Copy!B58, Data_Imputation!$A$2:$B$10, 2, FALSE), Working_Copy!F58)</f>
        <v>2817566</v>
      </c>
    </row>
    <row r="59" spans="4:4">
      <c r="D59">
        <f>IF(ISBLANK(Working_Copy!F59), VLOOKUP(Working_Copy!B59, Data_Imputation!$A$2:$B$10, 2, FALSE), Working_Copy!F59)</f>
        <v>1445218</v>
      </c>
    </row>
    <row r="60" spans="4:4">
      <c r="D60">
        <f>IF(ISBLANK(Working_Copy!F60), VLOOKUP(Working_Copy!B60, Data_Imputation!$A$2:$B$10, 2, FALSE), Working_Copy!F60)</f>
        <v>3298398</v>
      </c>
    </row>
    <row r="61" spans="4:4">
      <c r="D61">
        <f>IF(ISBLANK(Working_Copy!F61), VLOOKUP(Working_Copy!B61, Data_Imputation!$A$2:$B$10, 2, FALSE), Working_Copy!F61)</f>
        <v>2128968</v>
      </c>
    </row>
    <row r="62" spans="4:4">
      <c r="D62">
        <f>IF(ISBLANK(Working_Copy!F62), VLOOKUP(Working_Copy!B62, Data_Imputation!$A$2:$B$10, 2, FALSE), Working_Copy!F62)</f>
        <v>974320</v>
      </c>
    </row>
    <row r="63" spans="4:4">
      <c r="D63">
        <f>IF(ISBLANK(Working_Copy!F63), VLOOKUP(Working_Copy!B63, Data_Imputation!$A$2:$B$10, 2, FALSE), Working_Copy!F63)</f>
        <v>823269</v>
      </c>
    </row>
    <row r="64" spans="4:4">
      <c r="D64">
        <f>IF(ISBLANK(Working_Copy!F64), VLOOKUP(Working_Copy!B64, Data_Imputation!$A$2:$B$10, 2, FALSE), Working_Copy!F64)</f>
        <v>2319930</v>
      </c>
    </row>
    <row r="65" spans="4:4">
      <c r="D65">
        <f>IF(ISBLANK(Working_Copy!F65), VLOOKUP(Working_Copy!B65, Data_Imputation!$A$2:$B$10, 2, FALSE), Working_Copy!F65)</f>
        <v>3472871</v>
      </c>
    </row>
    <row r="66" spans="4:4">
      <c r="D66">
        <f>IF(ISBLANK(Working_Copy!F66), VLOOKUP(Working_Copy!B66, Data_Imputation!$A$2:$B$10, 2, FALSE), Working_Copy!F66)</f>
        <v>1713496</v>
      </c>
    </row>
    <row r="67" spans="4:4">
      <c r="D67">
        <f>IF(ISBLANK(Working_Copy!F67), VLOOKUP(Working_Copy!B67, Data_Imputation!$A$2:$B$10, 2, FALSE), Working_Copy!F67)</f>
        <v>3821201</v>
      </c>
    </row>
    <row r="68" spans="4:4">
      <c r="D68">
        <f>IF(ISBLANK(Working_Copy!F68), VLOOKUP(Working_Copy!B68, Data_Imputation!$A$2:$B$10, 2, FALSE), Working_Copy!F68)</f>
        <v>1471696</v>
      </c>
    </row>
    <row r="69" spans="4:4">
      <c r="D69">
        <f>IF(ISBLANK(Working_Copy!F69), VLOOKUP(Working_Copy!B69, Data_Imputation!$A$2:$B$10, 2, FALSE), Working_Copy!F69)</f>
        <v>1934039</v>
      </c>
    </row>
    <row r="70" spans="4:4">
      <c r="D70">
        <f>IF(ISBLANK(Working_Copy!F70), VLOOKUP(Working_Copy!B70, Data_Imputation!$A$2:$B$10, 2, FALSE), Working_Copy!F70)</f>
        <v>1991948</v>
      </c>
    </row>
    <row r="71" spans="4:4">
      <c r="D71">
        <f>IF(ISBLANK(Working_Copy!F71), VLOOKUP(Working_Copy!B71, Data_Imputation!$A$2:$B$10, 2, FALSE), Working_Copy!F71)</f>
        <v>2721601</v>
      </c>
    </row>
    <row r="72" spans="4:4">
      <c r="D72">
        <f>IF(ISBLANK(Working_Copy!F72), VLOOKUP(Working_Copy!B72, Data_Imputation!$A$2:$B$10, 2, FALSE), Working_Copy!F72)</f>
        <v>1787084</v>
      </c>
    </row>
    <row r="73" spans="4:4">
      <c r="D73">
        <f>IF(ISBLANK(Working_Copy!F73), VLOOKUP(Working_Copy!B73, Data_Imputation!$A$2:$B$10, 2, FALSE), Working_Copy!F73)</f>
        <v>2715884</v>
      </c>
    </row>
    <row r="74" spans="4:4">
      <c r="D74">
        <f>IF(ISBLANK(Working_Copy!F74), VLOOKUP(Working_Copy!B74, Data_Imputation!$A$2:$B$10, 2, FALSE), Working_Copy!F74)</f>
        <v>3985302</v>
      </c>
    </row>
    <row r="75" spans="4:4">
      <c r="D75">
        <f>IF(ISBLANK(Working_Copy!F75), VLOOKUP(Working_Copy!B75, Data_Imputation!$A$2:$B$10, 2, FALSE), Working_Copy!F75)</f>
        <v>2363114</v>
      </c>
    </row>
    <row r="76" spans="4:4">
      <c r="D76">
        <f>IF(ISBLANK(Working_Copy!F76), VLOOKUP(Working_Copy!B76, Data_Imputation!$A$2:$B$10, 2, FALSE), Working_Copy!F76)</f>
        <v>62805</v>
      </c>
    </row>
    <row r="77" spans="4:4">
      <c r="D77">
        <f>IF(ISBLANK(Working_Copy!F77), VLOOKUP(Working_Copy!B77, Data_Imputation!$A$2:$B$10, 2, FALSE), Working_Copy!F77)</f>
        <v>3992164</v>
      </c>
    </row>
    <row r="78" spans="4:4">
      <c r="D78">
        <f>IF(ISBLANK(Working_Copy!F78), VLOOKUP(Working_Copy!B78, Data_Imputation!$A$2:$B$10, 2, FALSE), Working_Copy!F78)</f>
        <v>303789</v>
      </c>
    </row>
    <row r="79" spans="4:4">
      <c r="D79">
        <f>IF(ISBLANK(Working_Copy!F79), VLOOKUP(Working_Copy!B79, Data_Imputation!$A$2:$B$10, 2, FALSE), Working_Copy!F79)</f>
        <v>663143</v>
      </c>
    </row>
    <row r="80" spans="4:4">
      <c r="D80">
        <f>IF(ISBLANK(Working_Copy!F80), VLOOKUP(Working_Copy!B80, Data_Imputation!$A$2:$B$10, 2, FALSE), Working_Copy!F80)</f>
        <v>1904744</v>
      </c>
    </row>
    <row r="81" spans="4:4">
      <c r="D81">
        <f>IF(ISBLANK(Working_Copy!F81), VLOOKUP(Working_Copy!B81, Data_Imputation!$A$2:$B$10, 2, FALSE), Working_Copy!F81)</f>
        <v>2451694.5</v>
      </c>
    </row>
    <row r="82" spans="4:4">
      <c r="D82">
        <f>IF(ISBLANK(Working_Copy!F82), VLOOKUP(Working_Copy!B82, Data_Imputation!$A$2:$B$10, 2, FALSE), Working_Copy!F82)</f>
        <v>1084800</v>
      </c>
    </row>
    <row r="83" spans="4:4">
      <c r="D83">
        <f>IF(ISBLANK(Working_Copy!F83), VLOOKUP(Working_Copy!B83, Data_Imputation!$A$2:$B$10, 2, FALSE), Working_Copy!F83)</f>
        <v>2156352</v>
      </c>
    </row>
    <row r="84" spans="4:4">
      <c r="D84">
        <f>IF(ISBLANK(Working_Copy!F84), VLOOKUP(Working_Copy!B84, Data_Imputation!$A$2:$B$10, 2, FALSE), Working_Copy!F84)</f>
        <v>3705345</v>
      </c>
    </row>
    <row r="85" spans="4:4">
      <c r="D85">
        <f>IF(ISBLANK(Working_Copy!F85), VLOOKUP(Working_Copy!B85, Data_Imputation!$A$2:$B$10, 2, FALSE), Working_Copy!F85)</f>
        <v>1601239</v>
      </c>
    </row>
    <row r="86" spans="4:4">
      <c r="D86">
        <f>IF(ISBLANK(Working_Copy!F86), VLOOKUP(Working_Copy!B86, Data_Imputation!$A$2:$B$10, 2, FALSE), Working_Copy!F86)</f>
        <v>874151</v>
      </c>
    </row>
    <row r="87" spans="4:4">
      <c r="D87">
        <f>IF(ISBLANK(Working_Copy!F87), VLOOKUP(Working_Copy!B87, Data_Imputation!$A$2:$B$10, 2, FALSE), Working_Copy!F87)</f>
        <v>2455432</v>
      </c>
    </row>
    <row r="88" spans="4:4">
      <c r="D88">
        <f>IF(ISBLANK(Working_Copy!F88), VLOOKUP(Working_Copy!B88, Data_Imputation!$A$2:$B$10, 2, FALSE), Working_Copy!F88)</f>
        <v>3924373</v>
      </c>
    </row>
    <row r="89" spans="4:4">
      <c r="D89">
        <f>IF(ISBLANK(Working_Copy!F89), VLOOKUP(Working_Copy!B89, Data_Imputation!$A$2:$B$10, 2, FALSE), Working_Copy!F89)</f>
        <v>2310939</v>
      </c>
    </row>
    <row r="90" spans="4:4">
      <c r="D90">
        <f>IF(ISBLANK(Working_Copy!F90), VLOOKUP(Working_Copy!B90, Data_Imputation!$A$2:$B$10, 2, FALSE), Working_Copy!F90)</f>
        <v>3906742</v>
      </c>
    </row>
    <row r="91" spans="4:4">
      <c r="D91">
        <f>IF(ISBLANK(Working_Copy!F91), VLOOKUP(Working_Copy!B91, Data_Imputation!$A$2:$B$10, 2, FALSE), Working_Copy!F91)</f>
        <v>2508361</v>
      </c>
    </row>
    <row r="92" spans="4:4">
      <c r="D92">
        <f>IF(ISBLANK(Working_Copy!F92), VLOOKUP(Working_Copy!B92, Data_Imputation!$A$2:$B$10, 2, FALSE), Working_Copy!F92)</f>
        <v>182064</v>
      </c>
    </row>
    <row r="93" spans="4:4">
      <c r="D93">
        <f>IF(ISBLANK(Working_Copy!F93), VLOOKUP(Working_Copy!B93, Data_Imputation!$A$2:$B$10, 2, FALSE), Working_Copy!F93)</f>
        <v>900028</v>
      </c>
    </row>
    <row r="94" spans="4:4">
      <c r="D94">
        <f>IF(ISBLANK(Working_Copy!F94), VLOOKUP(Working_Copy!B94, Data_Imputation!$A$2:$B$10, 2, FALSE), Working_Copy!F94)</f>
        <v>2936326</v>
      </c>
    </row>
    <row r="95" spans="4:4">
      <c r="D95">
        <f>IF(ISBLANK(Working_Copy!F95), VLOOKUP(Working_Copy!B95, Data_Imputation!$A$2:$B$10, 2, FALSE), Working_Copy!F95)</f>
        <v>2123352</v>
      </c>
    </row>
    <row r="96" spans="4:4">
      <c r="D96">
        <f>IF(ISBLANK(Working_Copy!F96), VLOOKUP(Working_Copy!B96, Data_Imputation!$A$2:$B$10, 2, FALSE), Working_Copy!F96)</f>
        <v>983928</v>
      </c>
    </row>
    <row r="97" spans="4:4">
      <c r="D97">
        <f>IF(ISBLANK(Working_Copy!F97), VLOOKUP(Working_Copy!B97, Data_Imputation!$A$2:$B$10, 2, FALSE), Working_Copy!F97)</f>
        <v>2655438</v>
      </c>
    </row>
    <row r="98" spans="4:4">
      <c r="D98">
        <f>IF(ISBLANK(Working_Copy!F98), VLOOKUP(Working_Copy!B98, Data_Imputation!$A$2:$B$10, 2, FALSE), Working_Copy!F98)</f>
        <v>1801534</v>
      </c>
    </row>
    <row r="99" spans="4:4">
      <c r="D99">
        <f>IF(ISBLANK(Working_Copy!F99), VLOOKUP(Working_Copy!B99, Data_Imputation!$A$2:$B$10, 2, FALSE), Working_Copy!F99)</f>
        <v>1260124</v>
      </c>
    </row>
    <row r="100" spans="4:4">
      <c r="D100">
        <f>IF(ISBLANK(Working_Copy!F100), VLOOKUP(Working_Copy!B100, Data_Imputation!$A$2:$B$10, 2, FALSE), Working_Copy!F100)</f>
        <v>1662160</v>
      </c>
    </row>
    <row r="101" spans="4:4">
      <c r="D101">
        <f>IF(ISBLANK(Working_Copy!F101), VLOOKUP(Working_Copy!B101, Data_Imputation!$A$2:$B$10, 2, FALSE), Working_Copy!F101)</f>
        <v>1134328</v>
      </c>
    </row>
    <row r="102" spans="4:4">
      <c r="D102">
        <f>IF(ISBLANK(Working_Copy!F102), VLOOKUP(Working_Copy!B102, Data_Imputation!$A$2:$B$10, 2, FALSE), Working_Copy!F102)</f>
        <v>2447957</v>
      </c>
    </row>
    <row r="103" spans="4:4">
      <c r="D103">
        <f>IF(ISBLANK(Working_Copy!F103), VLOOKUP(Working_Copy!B103, Data_Imputation!$A$2:$B$10, 2, FALSE), Working_Copy!F103)</f>
        <v>322824</v>
      </c>
    </row>
    <row r="104" spans="4:4">
      <c r="D104">
        <f>IF(ISBLANK(Working_Copy!F104), VLOOKUP(Working_Copy!B104, Data_Imputation!$A$2:$B$10, 2, FALSE), Working_Copy!F104)</f>
        <v>3550265</v>
      </c>
    </row>
    <row r="105" spans="4:4">
      <c r="D105">
        <f>IF(ISBLANK(Working_Copy!F105), VLOOKUP(Working_Copy!B105, Data_Imputation!$A$2:$B$10, 2, FALSE), Working_Copy!F105)</f>
        <v>1256332</v>
      </c>
    </row>
    <row r="106" spans="4:4">
      <c r="D106">
        <f>IF(ISBLANK(Working_Copy!F106), VLOOKUP(Working_Copy!B106, Data_Imputation!$A$2:$B$10, 2, FALSE), Working_Copy!F106)</f>
        <v>84003</v>
      </c>
    </row>
    <row r="107" spans="4:4">
      <c r="D107">
        <f>IF(ISBLANK(Working_Copy!F107), VLOOKUP(Working_Copy!B107, Data_Imputation!$A$2:$B$10, 2, FALSE), Working_Copy!F107)</f>
        <v>751782</v>
      </c>
    </row>
    <row r="108" spans="4:4">
      <c r="D108">
        <f>IF(ISBLANK(Working_Copy!F108), VLOOKUP(Working_Copy!B108, Data_Imputation!$A$2:$B$10, 2, FALSE), Working_Copy!F108)</f>
        <v>3712395</v>
      </c>
    </row>
    <row r="109" spans="4:4">
      <c r="D109">
        <f>IF(ISBLANK(Working_Copy!F109), VLOOKUP(Working_Copy!B109, Data_Imputation!$A$2:$B$10, 2, FALSE), Working_Copy!F109)</f>
        <v>3560643</v>
      </c>
    </row>
    <row r="110" spans="4:4">
      <c r="D110">
        <f>IF(ISBLANK(Working_Copy!F110), VLOOKUP(Working_Copy!B110, Data_Imputation!$A$2:$B$10, 2, FALSE), Working_Copy!F110)</f>
        <v>392311</v>
      </c>
    </row>
    <row r="111" spans="4:4">
      <c r="D111">
        <f>IF(ISBLANK(Working_Copy!F111), VLOOKUP(Working_Copy!B111, Data_Imputation!$A$2:$B$10, 2, FALSE), Working_Copy!F111)</f>
        <v>1298326</v>
      </c>
    </row>
    <row r="112" spans="4:4">
      <c r="D112">
        <f>IF(ISBLANK(Working_Copy!F112), VLOOKUP(Working_Copy!B112, Data_Imputation!$A$2:$B$10, 2, FALSE), Working_Copy!F112)</f>
        <v>3665566</v>
      </c>
    </row>
    <row r="113" spans="4:4">
      <c r="D113">
        <f>IF(ISBLANK(Working_Copy!F113), VLOOKUP(Working_Copy!B113, Data_Imputation!$A$2:$B$10, 2, FALSE), Working_Copy!F113)</f>
        <v>3171777</v>
      </c>
    </row>
    <row r="114" spans="4:4">
      <c r="D114">
        <f>IF(ISBLANK(Working_Copy!F114), VLOOKUP(Working_Copy!B114, Data_Imputation!$A$2:$B$10, 2, FALSE), Working_Copy!F114)</f>
        <v>2870675</v>
      </c>
    </row>
    <row r="115" spans="4:4">
      <c r="D115">
        <f>IF(ISBLANK(Working_Copy!F115), VLOOKUP(Working_Copy!B115, Data_Imputation!$A$2:$B$10, 2, FALSE), Working_Copy!F115)</f>
        <v>3099177</v>
      </c>
    </row>
    <row r="116" spans="4:4">
      <c r="D116">
        <f>IF(ISBLANK(Working_Copy!F116), VLOOKUP(Working_Copy!B116, Data_Imputation!$A$2:$B$10, 2, FALSE), Working_Copy!F116)</f>
        <v>2212125</v>
      </c>
    </row>
    <row r="117" spans="4:4">
      <c r="D117">
        <f>IF(ISBLANK(Working_Copy!F117), VLOOKUP(Working_Copy!B117, Data_Imputation!$A$2:$B$10, 2, FALSE), Working_Copy!F117)</f>
        <v>3995906</v>
      </c>
    </row>
    <row r="118" spans="4:4">
      <c r="D118">
        <f>IF(ISBLANK(Working_Copy!F118), VLOOKUP(Working_Copy!B118, Data_Imputation!$A$2:$B$10, 2, FALSE), Working_Copy!F118)</f>
        <v>623617</v>
      </c>
    </row>
    <row r="119" spans="4:4">
      <c r="D119">
        <f>IF(ISBLANK(Working_Copy!F119), VLOOKUP(Working_Copy!B119, Data_Imputation!$A$2:$B$10, 2, FALSE), Working_Copy!F119)</f>
        <v>3921598</v>
      </c>
    </row>
    <row r="120" spans="4:4">
      <c r="D120">
        <f>IF(ISBLANK(Working_Copy!F120), VLOOKUP(Working_Copy!B120, Data_Imputation!$A$2:$B$10, 2, FALSE), Working_Copy!F120)</f>
        <v>709646</v>
      </c>
    </row>
    <row r="121" spans="4:4">
      <c r="D121">
        <f>IF(ISBLANK(Working_Copy!F121), VLOOKUP(Working_Copy!B121, Data_Imputation!$A$2:$B$10, 2, FALSE), Working_Copy!F121)</f>
        <v>1929177</v>
      </c>
    </row>
    <row r="122" spans="4:4">
      <c r="D122">
        <f>IF(ISBLANK(Working_Copy!F122), VLOOKUP(Working_Copy!B122, Data_Imputation!$A$2:$B$10, 2, FALSE), Working_Copy!F122)</f>
        <v>2885628</v>
      </c>
    </row>
    <row r="123" spans="4:4">
      <c r="D123">
        <f>IF(ISBLANK(Working_Copy!F123), VLOOKUP(Working_Copy!B123, Data_Imputation!$A$2:$B$10, 2, FALSE), Working_Copy!F123)</f>
        <v>2683149</v>
      </c>
    </row>
    <row r="124" spans="4:4">
      <c r="D124">
        <f>IF(ISBLANK(Working_Copy!F124), VLOOKUP(Working_Copy!B124, Data_Imputation!$A$2:$B$10, 2, FALSE), Working_Copy!F124)</f>
        <v>3065599</v>
      </c>
    </row>
    <row r="125" spans="4:4">
      <c r="D125">
        <f>IF(ISBLANK(Working_Copy!F125), VLOOKUP(Working_Copy!B125, Data_Imputation!$A$2:$B$10, 2, FALSE), Working_Copy!F125)</f>
        <v>2200372</v>
      </c>
    </row>
    <row r="126" spans="4:4">
      <c r="D126">
        <f>IF(ISBLANK(Working_Copy!F126), VLOOKUP(Working_Copy!B126, Data_Imputation!$A$2:$B$10, 2, FALSE), Working_Copy!F126)</f>
        <v>2679619</v>
      </c>
    </row>
    <row r="127" spans="4:4">
      <c r="D127">
        <f>IF(ISBLANK(Working_Copy!F127), VLOOKUP(Working_Copy!B127, Data_Imputation!$A$2:$B$10, 2, FALSE), Working_Copy!F127)</f>
        <v>917828</v>
      </c>
    </row>
    <row r="128" spans="4:4">
      <c r="D128">
        <f>IF(ISBLANK(Working_Copy!F128), VLOOKUP(Working_Copy!B128, Data_Imputation!$A$2:$B$10, 2, FALSE), Working_Copy!F128)</f>
        <v>1066314</v>
      </c>
    </row>
    <row r="129" spans="4:4">
      <c r="D129">
        <f>IF(ISBLANK(Working_Copy!F129), VLOOKUP(Working_Copy!B129, Data_Imputation!$A$2:$B$10, 2, FALSE), Working_Copy!F129)</f>
        <v>3579690</v>
      </c>
    </row>
    <row r="130" spans="4:4">
      <c r="D130">
        <f>IF(ISBLANK(Working_Copy!F130), VLOOKUP(Working_Copy!B130, Data_Imputation!$A$2:$B$10, 2, FALSE), Working_Copy!F130)</f>
        <v>3951349</v>
      </c>
    </row>
    <row r="131" spans="4:4">
      <c r="D131">
        <f>IF(ISBLANK(Working_Copy!F131), VLOOKUP(Working_Copy!B131, Data_Imputation!$A$2:$B$10, 2, FALSE), Working_Copy!F131)</f>
        <v>958994</v>
      </c>
    </row>
    <row r="132" spans="4:4">
      <c r="D132">
        <f>IF(ISBLANK(Working_Copy!F132), VLOOKUP(Working_Copy!B132, Data_Imputation!$A$2:$B$10, 2, FALSE), Working_Copy!F132)</f>
        <v>208506</v>
      </c>
    </row>
    <row r="133" spans="4:4">
      <c r="D133">
        <f>IF(ISBLANK(Working_Copy!F133), VLOOKUP(Working_Copy!B133, Data_Imputation!$A$2:$B$10, 2, FALSE), Working_Copy!F133)</f>
        <v>2523921</v>
      </c>
    </row>
    <row r="134" spans="4:4">
      <c r="D134">
        <f>IF(ISBLANK(Working_Copy!F134), VLOOKUP(Working_Copy!B134, Data_Imputation!$A$2:$B$10, 2, FALSE), Working_Copy!F134)</f>
        <v>2047108</v>
      </c>
    </row>
    <row r="135" spans="4:4">
      <c r="D135">
        <f>IF(ISBLANK(Working_Copy!F135), VLOOKUP(Working_Copy!B135, Data_Imputation!$A$2:$B$10, 2, FALSE), Working_Copy!F135)</f>
        <v>2630791</v>
      </c>
    </row>
    <row r="136" spans="4:4">
      <c r="D136">
        <f>IF(ISBLANK(Working_Copy!F136), VLOOKUP(Working_Copy!B136, Data_Imputation!$A$2:$B$10, 2, FALSE), Working_Copy!F136)</f>
        <v>1064629</v>
      </c>
    </row>
    <row r="137" spans="4:4">
      <c r="D137">
        <f>IF(ISBLANK(Working_Copy!F137), VLOOKUP(Working_Copy!B137, Data_Imputation!$A$2:$B$10, 2, FALSE), Working_Copy!F137)</f>
        <v>1225921</v>
      </c>
    </row>
    <row r="138" spans="4:4">
      <c r="D138">
        <f>IF(ISBLANK(Working_Copy!F138), VLOOKUP(Working_Copy!B138, Data_Imputation!$A$2:$B$10, 2, FALSE), Working_Copy!F138)</f>
        <v>2053158</v>
      </c>
    </row>
    <row r="139" spans="4:4">
      <c r="D139">
        <f>IF(ISBLANK(Working_Copy!F139), VLOOKUP(Working_Copy!B139, Data_Imputation!$A$2:$B$10, 2, FALSE), Working_Copy!F139)</f>
        <v>45481</v>
      </c>
    </row>
    <row r="140" spans="4:4">
      <c r="D140">
        <f>IF(ISBLANK(Working_Copy!F140), VLOOKUP(Working_Copy!B140, Data_Imputation!$A$2:$B$10, 2, FALSE), Working_Copy!F140)</f>
        <v>1186788</v>
      </c>
    </row>
    <row r="141" spans="4:4">
      <c r="D141">
        <f>IF(ISBLANK(Working_Copy!F141), VLOOKUP(Working_Copy!B141, Data_Imputation!$A$2:$B$10, 2, FALSE), Working_Copy!F141)</f>
        <v>1528912</v>
      </c>
    </row>
    <row r="142" spans="4:4">
      <c r="D142">
        <f>IF(ISBLANK(Working_Copy!F142), VLOOKUP(Working_Copy!B142, Data_Imputation!$A$2:$B$10, 2, FALSE), Working_Copy!F142)</f>
        <v>3448610</v>
      </c>
    </row>
    <row r="143" spans="4:4">
      <c r="D143">
        <f>IF(ISBLANK(Working_Copy!F143), VLOOKUP(Working_Copy!B143, Data_Imputation!$A$2:$B$10, 2, FALSE), Working_Copy!F143)</f>
        <v>2277132</v>
      </c>
    </row>
    <row r="144" spans="4:4">
      <c r="D144">
        <f>IF(ISBLANK(Working_Copy!F144), VLOOKUP(Working_Copy!B144, Data_Imputation!$A$2:$B$10, 2, FALSE), Working_Copy!F144)</f>
        <v>344892</v>
      </c>
    </row>
    <row r="145" spans="4:4">
      <c r="D145">
        <f>IF(ISBLANK(Working_Copy!F145), VLOOKUP(Working_Copy!B145, Data_Imputation!$A$2:$B$10, 2, FALSE), Working_Copy!F145)</f>
        <v>105542</v>
      </c>
    </row>
    <row r="146" spans="4:4">
      <c r="D146">
        <f>IF(ISBLANK(Working_Copy!F146), VLOOKUP(Working_Copy!B146, Data_Imputation!$A$2:$B$10, 2, FALSE), Working_Copy!F146)</f>
        <v>681233</v>
      </c>
    </row>
    <row r="147" spans="4:4">
      <c r="D147">
        <f>IF(ISBLANK(Working_Copy!F147), VLOOKUP(Working_Copy!B147, Data_Imputation!$A$2:$B$10, 2, FALSE), Working_Copy!F147)</f>
        <v>3437639</v>
      </c>
    </row>
    <row r="148" spans="4:4">
      <c r="D148">
        <f>IF(ISBLANK(Working_Copy!F148), VLOOKUP(Working_Copy!B148, Data_Imputation!$A$2:$B$10, 2, FALSE), Working_Copy!F148)</f>
        <v>3743379</v>
      </c>
    </row>
    <row r="149" spans="4:4">
      <c r="D149">
        <f>IF(ISBLANK(Working_Copy!F149), VLOOKUP(Working_Copy!B149, Data_Imputation!$A$2:$B$10, 2, FALSE), Working_Copy!F149)</f>
        <v>3882486</v>
      </c>
    </row>
    <row r="150" spans="4:4">
      <c r="D150">
        <f>IF(ISBLANK(Working_Copy!F150), VLOOKUP(Working_Copy!B150, Data_Imputation!$A$2:$B$10, 2, FALSE), Working_Copy!F150)</f>
        <v>158340</v>
      </c>
    </row>
    <row r="151" spans="4:4">
      <c r="D151">
        <f>IF(ISBLANK(Working_Copy!F151), VLOOKUP(Working_Copy!B151, Data_Imputation!$A$2:$B$10, 2, FALSE), Working_Copy!F151)</f>
        <v>1172320</v>
      </c>
    </row>
    <row r="152" spans="4:4">
      <c r="D152">
        <f>IF(ISBLANK(Working_Copy!F152), VLOOKUP(Working_Copy!B152, Data_Imputation!$A$2:$B$10, 2, FALSE), Working_Copy!F152)</f>
        <v>2427159</v>
      </c>
    </row>
    <row r="153" spans="4:4">
      <c r="D153">
        <f>IF(ISBLANK(Working_Copy!F153), VLOOKUP(Working_Copy!B153, Data_Imputation!$A$2:$B$10, 2, FALSE), Working_Copy!F153)</f>
        <v>1662954</v>
      </c>
    </row>
    <row r="154" spans="4:4">
      <c r="D154">
        <f>IF(ISBLANK(Working_Copy!F154), VLOOKUP(Working_Copy!B154, Data_Imputation!$A$2:$B$10, 2, FALSE), Working_Copy!F154)</f>
        <v>1214585</v>
      </c>
    </row>
    <row r="155" spans="4:4">
      <c r="D155">
        <f>IF(ISBLANK(Working_Copy!F155), VLOOKUP(Working_Copy!B155, Data_Imputation!$A$2:$B$10, 2, FALSE), Working_Copy!F155)</f>
        <v>1336884</v>
      </c>
    </row>
    <row r="156" spans="4:4">
      <c r="D156">
        <f>IF(ISBLANK(Working_Copy!F156), VLOOKUP(Working_Copy!B156, Data_Imputation!$A$2:$B$10, 2, FALSE), Working_Copy!F156)</f>
        <v>50705</v>
      </c>
    </row>
    <row r="157" spans="4:4">
      <c r="D157">
        <f>IF(ISBLANK(Working_Copy!F157), VLOOKUP(Working_Copy!B157, Data_Imputation!$A$2:$B$10, 2, FALSE), Working_Copy!F157)</f>
        <v>559125</v>
      </c>
    </row>
    <row r="158" spans="4:4">
      <c r="D158">
        <f>IF(ISBLANK(Working_Copy!F158), VLOOKUP(Working_Copy!B158, Data_Imputation!$A$2:$B$10, 2, FALSE), Working_Copy!F158)</f>
        <v>3670265</v>
      </c>
    </row>
    <row r="159" spans="4:4">
      <c r="D159">
        <f>IF(ISBLANK(Working_Copy!F159), VLOOKUP(Working_Copy!B159, Data_Imputation!$A$2:$B$10, 2, FALSE), Working_Copy!F159)</f>
        <v>63080</v>
      </c>
    </row>
    <row r="160" spans="4:4">
      <c r="D160">
        <f>IF(ISBLANK(Working_Copy!F160), VLOOKUP(Working_Copy!B160, Data_Imputation!$A$2:$B$10, 2, FALSE), Working_Copy!F160)</f>
        <v>2121857</v>
      </c>
    </row>
    <row r="161" spans="4:4">
      <c r="D161">
        <f>IF(ISBLANK(Working_Copy!F161), VLOOKUP(Working_Copy!B161, Data_Imputation!$A$2:$B$10, 2, FALSE), Working_Copy!F161)</f>
        <v>2128968</v>
      </c>
    </row>
    <row r="162" spans="4:4">
      <c r="D162">
        <f>IF(ISBLANK(Working_Copy!F162), VLOOKUP(Working_Copy!B162, Data_Imputation!$A$2:$B$10, 2, FALSE), Working_Copy!F162)</f>
        <v>683036</v>
      </c>
    </row>
    <row r="163" spans="4:4">
      <c r="D163">
        <f>IF(ISBLANK(Working_Copy!F163), VLOOKUP(Working_Copy!B163, Data_Imputation!$A$2:$B$10, 2, FALSE), Working_Copy!F163)</f>
        <v>2414762</v>
      </c>
    </row>
    <row r="164" spans="4:4">
      <c r="D164">
        <f>IF(ISBLANK(Working_Copy!F164), VLOOKUP(Working_Copy!B164, Data_Imputation!$A$2:$B$10, 2, FALSE), Working_Copy!F164)</f>
        <v>3252974</v>
      </c>
    </row>
    <row r="165" spans="4:4">
      <c r="D165">
        <f>IF(ISBLANK(Working_Copy!F165), VLOOKUP(Working_Copy!B165, Data_Imputation!$A$2:$B$10, 2, FALSE), Working_Copy!F165)</f>
        <v>713337</v>
      </c>
    </row>
    <row r="166" spans="4:4">
      <c r="D166">
        <f>IF(ISBLANK(Working_Copy!F166), VLOOKUP(Working_Copy!B166, Data_Imputation!$A$2:$B$10, 2, FALSE), Working_Copy!F166)</f>
        <v>2447206</v>
      </c>
    </row>
    <row r="167" spans="4:4">
      <c r="D167">
        <f>IF(ISBLANK(Working_Copy!F167), VLOOKUP(Working_Copy!B167, Data_Imputation!$A$2:$B$10, 2, FALSE), Working_Copy!F167)</f>
        <v>422453</v>
      </c>
    </row>
    <row r="168" spans="4:4">
      <c r="D168">
        <f>IF(ISBLANK(Working_Copy!F168), VLOOKUP(Working_Copy!B168, Data_Imputation!$A$2:$B$10, 2, FALSE), Working_Copy!F168)</f>
        <v>495178</v>
      </c>
    </row>
    <row r="169" spans="4:4">
      <c r="D169">
        <f>IF(ISBLANK(Working_Copy!F169), VLOOKUP(Working_Copy!B169, Data_Imputation!$A$2:$B$10, 2, FALSE), Working_Copy!F169)</f>
        <v>3550515</v>
      </c>
    </row>
    <row r="170" spans="4:4">
      <c r="D170">
        <f>IF(ISBLANK(Working_Copy!F170), VLOOKUP(Working_Copy!B170, Data_Imputation!$A$2:$B$10, 2, FALSE), Working_Copy!F170)</f>
        <v>1045999</v>
      </c>
    </row>
    <row r="171" spans="4:4">
      <c r="D171">
        <f>IF(ISBLANK(Working_Copy!F171), VLOOKUP(Working_Copy!B171, Data_Imputation!$A$2:$B$10, 2, FALSE), Working_Copy!F171)</f>
        <v>2962423</v>
      </c>
    </row>
    <row r="172" spans="4:4">
      <c r="D172">
        <f>IF(ISBLANK(Working_Copy!F172), VLOOKUP(Working_Copy!B172, Data_Imputation!$A$2:$B$10, 2, FALSE), Working_Copy!F172)</f>
        <v>3521017</v>
      </c>
    </row>
    <row r="173" spans="4:4">
      <c r="D173">
        <f>IF(ISBLANK(Working_Copy!F173), VLOOKUP(Working_Copy!B173, Data_Imputation!$A$2:$B$10, 2, FALSE), Working_Copy!F173)</f>
        <v>96021</v>
      </c>
    </row>
    <row r="174" spans="4:4">
      <c r="D174">
        <f>IF(ISBLANK(Working_Copy!F174), VLOOKUP(Working_Copy!B174, Data_Imputation!$A$2:$B$10, 2, FALSE), Working_Copy!F174)</f>
        <v>743108</v>
      </c>
    </row>
    <row r="175" spans="4:4">
      <c r="D175">
        <f>IF(ISBLANK(Working_Copy!F175), VLOOKUP(Working_Copy!B175, Data_Imputation!$A$2:$B$10, 2, FALSE), Working_Copy!F175)</f>
        <v>397127</v>
      </c>
    </row>
    <row r="176" spans="4:4">
      <c r="D176">
        <f>IF(ISBLANK(Working_Copy!F176), VLOOKUP(Working_Copy!B176, Data_Imputation!$A$2:$B$10, 2, FALSE), Working_Copy!F176)</f>
        <v>82098</v>
      </c>
    </row>
    <row r="177" spans="4:4">
      <c r="D177">
        <f>IF(ISBLANK(Working_Copy!F177), VLOOKUP(Working_Copy!B177, Data_Imputation!$A$2:$B$10, 2, FALSE), Working_Copy!F177)</f>
        <v>1900734</v>
      </c>
    </row>
    <row r="178" spans="4:4">
      <c r="D178">
        <f>IF(ISBLANK(Working_Copy!F178), VLOOKUP(Working_Copy!B178, Data_Imputation!$A$2:$B$10, 2, FALSE), Working_Copy!F178)</f>
        <v>416967</v>
      </c>
    </row>
    <row r="179" spans="4:4">
      <c r="D179">
        <f>IF(ISBLANK(Working_Copy!F179), VLOOKUP(Working_Copy!B179, Data_Imputation!$A$2:$B$10, 2, FALSE), Working_Copy!F179)</f>
        <v>2755073</v>
      </c>
    </row>
    <row r="180" spans="4:4">
      <c r="D180">
        <f>IF(ISBLANK(Working_Copy!F180), VLOOKUP(Working_Copy!B180, Data_Imputation!$A$2:$B$10, 2, FALSE), Working_Copy!F180)</f>
        <v>1767019</v>
      </c>
    </row>
    <row r="181" spans="4:4">
      <c r="D181">
        <f>IF(ISBLANK(Working_Copy!F181), VLOOKUP(Working_Copy!B181, Data_Imputation!$A$2:$B$10, 2, FALSE), Working_Copy!F181)</f>
        <v>2451694.5</v>
      </c>
    </row>
    <row r="182" spans="4:4">
      <c r="D182">
        <f>IF(ISBLANK(Working_Copy!F182), VLOOKUP(Working_Copy!B182, Data_Imputation!$A$2:$B$10, 2, FALSE), Working_Copy!F182)</f>
        <v>2100774</v>
      </c>
    </row>
    <row r="183" spans="4:4">
      <c r="D183">
        <f>IF(ISBLANK(Working_Copy!F183), VLOOKUP(Working_Copy!B183, Data_Imputation!$A$2:$B$10, 2, FALSE), Working_Copy!F183)</f>
        <v>2712846</v>
      </c>
    </row>
    <row r="184" spans="4:4">
      <c r="D184">
        <f>IF(ISBLANK(Working_Copy!F184), VLOOKUP(Working_Copy!B184, Data_Imputation!$A$2:$B$10, 2, FALSE), Working_Copy!F184)</f>
        <v>342363</v>
      </c>
    </row>
    <row r="185" spans="4:4">
      <c r="D185">
        <f>IF(ISBLANK(Working_Copy!F185), VLOOKUP(Working_Copy!B185, Data_Imputation!$A$2:$B$10, 2, FALSE), Working_Copy!F185)</f>
        <v>63749</v>
      </c>
    </row>
    <row r="186" spans="4:4">
      <c r="D186">
        <f>IF(ISBLANK(Working_Copy!F186), VLOOKUP(Working_Copy!B186, Data_Imputation!$A$2:$B$10, 2, FALSE), Working_Copy!F186)</f>
        <v>378734</v>
      </c>
    </row>
    <row r="187" spans="4:4">
      <c r="D187">
        <f>IF(ISBLANK(Working_Copy!F187), VLOOKUP(Working_Copy!B187, Data_Imputation!$A$2:$B$10, 2, FALSE), Working_Copy!F187)</f>
        <v>2011492</v>
      </c>
    </row>
    <row r="188" spans="4:4">
      <c r="D188">
        <f>IF(ISBLANK(Working_Copy!F188), VLOOKUP(Working_Copy!B188, Data_Imputation!$A$2:$B$10, 2, FALSE), Working_Copy!F188)</f>
        <v>2770096</v>
      </c>
    </row>
    <row r="189" spans="4:4">
      <c r="D189">
        <f>IF(ISBLANK(Working_Copy!F189), VLOOKUP(Working_Copy!B189, Data_Imputation!$A$2:$B$10, 2, FALSE), Working_Copy!F189)</f>
        <v>579610</v>
      </c>
    </row>
    <row r="190" spans="4:4">
      <c r="D190">
        <f>IF(ISBLANK(Working_Copy!F190), VLOOKUP(Working_Copy!B190, Data_Imputation!$A$2:$B$10, 2, FALSE), Working_Copy!F190)</f>
        <v>77354</v>
      </c>
    </row>
    <row r="191" spans="4:4">
      <c r="D191">
        <f>IF(ISBLANK(Working_Copy!F191), VLOOKUP(Working_Copy!B191, Data_Imputation!$A$2:$B$10, 2, FALSE), Working_Copy!F191)</f>
        <v>2210828</v>
      </c>
    </row>
    <row r="192" spans="4:4">
      <c r="D192">
        <f>IF(ISBLANK(Working_Copy!F192), VLOOKUP(Working_Copy!B192, Data_Imputation!$A$2:$B$10, 2, FALSE), Working_Copy!F192)</f>
        <v>887895</v>
      </c>
    </row>
    <row r="193" spans="4:4">
      <c r="D193">
        <f>IF(ISBLANK(Working_Copy!F193), VLOOKUP(Working_Copy!B193, Data_Imputation!$A$2:$B$10, 2, FALSE), Working_Copy!F193)</f>
        <v>3484918</v>
      </c>
    </row>
    <row r="194" spans="4:4">
      <c r="D194">
        <f>IF(ISBLANK(Working_Copy!F194), VLOOKUP(Working_Copy!B194, Data_Imputation!$A$2:$B$10, 2, FALSE), Working_Copy!F194)</f>
        <v>847592</v>
      </c>
    </row>
    <row r="195" spans="4:4">
      <c r="D195">
        <f>IF(ISBLANK(Working_Copy!F195), VLOOKUP(Working_Copy!B195, Data_Imputation!$A$2:$B$10, 2, FALSE), Working_Copy!F195)</f>
        <v>2544973</v>
      </c>
    </row>
    <row r="196" spans="4:4">
      <c r="D196">
        <f>IF(ISBLANK(Working_Copy!F196), VLOOKUP(Working_Copy!B196, Data_Imputation!$A$2:$B$10, 2, FALSE), Working_Copy!F196)</f>
        <v>155861</v>
      </c>
    </row>
    <row r="197" spans="4:4">
      <c r="D197">
        <f>IF(ISBLANK(Working_Copy!F197), VLOOKUP(Working_Copy!B197, Data_Imputation!$A$2:$B$10, 2, FALSE), Working_Copy!F197)</f>
        <v>280062</v>
      </c>
    </row>
    <row r="198" spans="4:4">
      <c r="D198">
        <f>IF(ISBLANK(Working_Copy!F198), VLOOKUP(Working_Copy!B198, Data_Imputation!$A$2:$B$10, 2, FALSE), Working_Copy!F198)</f>
        <v>3311588</v>
      </c>
    </row>
    <row r="199" spans="4:4">
      <c r="D199">
        <f>IF(ISBLANK(Working_Copy!F199), VLOOKUP(Working_Copy!B199, Data_Imputation!$A$2:$B$10, 2, FALSE), Working_Copy!F199)</f>
        <v>3556797</v>
      </c>
    </row>
    <row r="200" spans="4:4">
      <c r="D200">
        <f>IF(ISBLANK(Working_Copy!F200), VLOOKUP(Working_Copy!B200, Data_Imputation!$A$2:$B$10, 2, FALSE), Working_Copy!F200)</f>
        <v>2530205</v>
      </c>
    </row>
    <row r="201" spans="4:4">
      <c r="D201">
        <f>IF(ISBLANK(Working_Copy!F201), VLOOKUP(Working_Copy!B201, Data_Imputation!$A$2:$B$10, 2, FALSE), Working_Copy!F201)</f>
        <v>2128968</v>
      </c>
    </row>
    <row r="202" spans="4:4">
      <c r="D202">
        <f>IF(ISBLANK(Working_Copy!F202), VLOOKUP(Working_Copy!B202, Data_Imputation!$A$2:$B$10, 2, FALSE), Working_Copy!F202)</f>
        <v>46974</v>
      </c>
    </row>
    <row r="203" spans="4:4">
      <c r="D203">
        <f>IF(ISBLANK(Working_Copy!F203), VLOOKUP(Working_Copy!B203, Data_Imputation!$A$2:$B$10, 2, FALSE), Working_Copy!F203)</f>
        <v>3732739</v>
      </c>
    </row>
    <row r="204" spans="4:4">
      <c r="D204">
        <f>IF(ISBLANK(Working_Copy!F204), VLOOKUP(Working_Copy!B204, Data_Imputation!$A$2:$B$10, 2, FALSE), Working_Copy!F204)</f>
        <v>1640581</v>
      </c>
    </row>
    <row r="205" spans="4:4">
      <c r="D205">
        <f>IF(ISBLANK(Working_Copy!F205), VLOOKUP(Working_Copy!B205, Data_Imputation!$A$2:$B$10, 2, FALSE), Working_Copy!F205)</f>
        <v>3947905</v>
      </c>
    </row>
    <row r="206" spans="4:4">
      <c r="D206">
        <f>IF(ISBLANK(Working_Copy!F206), VLOOKUP(Working_Copy!B206, Data_Imputation!$A$2:$B$10, 2, FALSE), Working_Copy!F206)</f>
        <v>3671157</v>
      </c>
    </row>
    <row r="207" spans="4:4">
      <c r="D207">
        <f>IF(ISBLANK(Working_Copy!F207), VLOOKUP(Working_Copy!B207, Data_Imputation!$A$2:$B$10, 2, FALSE), Working_Copy!F207)</f>
        <v>2780974</v>
      </c>
    </row>
    <row r="208" spans="4:4">
      <c r="D208">
        <f>IF(ISBLANK(Working_Copy!F208), VLOOKUP(Working_Copy!B208, Data_Imputation!$A$2:$B$10, 2, FALSE), Working_Copy!F208)</f>
        <v>3942335</v>
      </c>
    </row>
    <row r="209" spans="4:4">
      <c r="D209">
        <f>IF(ISBLANK(Working_Copy!F209), VLOOKUP(Working_Copy!B209, Data_Imputation!$A$2:$B$10, 2, FALSE), Working_Copy!F209)</f>
        <v>2328806</v>
      </c>
    </row>
    <row r="210" spans="4:4">
      <c r="D210">
        <f>IF(ISBLANK(Working_Copy!F210), VLOOKUP(Working_Copy!B210, Data_Imputation!$A$2:$B$10, 2, FALSE), Working_Copy!F210)</f>
        <v>960796</v>
      </c>
    </row>
    <row r="211" spans="4:4">
      <c r="D211">
        <f>IF(ISBLANK(Working_Copy!F211), VLOOKUP(Working_Copy!B211, Data_Imputation!$A$2:$B$10, 2, FALSE), Working_Copy!F211)</f>
        <v>3958244</v>
      </c>
    </row>
    <row r="212" spans="4:4">
      <c r="D212">
        <f>IF(ISBLANK(Working_Copy!F212), VLOOKUP(Working_Copy!B212, Data_Imputation!$A$2:$B$10, 2, FALSE), Working_Copy!F212)</f>
        <v>878016</v>
      </c>
    </row>
    <row r="213" spans="4:4">
      <c r="D213">
        <f>IF(ISBLANK(Working_Copy!F213), VLOOKUP(Working_Copy!B213, Data_Imputation!$A$2:$B$10, 2, FALSE), Working_Copy!F213)</f>
        <v>465280</v>
      </c>
    </row>
    <row r="214" spans="4:4">
      <c r="D214">
        <f>IF(ISBLANK(Working_Copy!F214), VLOOKUP(Working_Copy!B214, Data_Imputation!$A$2:$B$10, 2, FALSE), Working_Copy!F214)</f>
        <v>762340</v>
      </c>
    </row>
    <row r="215" spans="4:4">
      <c r="D215">
        <f>IF(ISBLANK(Working_Copy!F215), VLOOKUP(Working_Copy!B215, Data_Imputation!$A$2:$B$10, 2, FALSE), Working_Copy!F215)</f>
        <v>600865</v>
      </c>
    </row>
    <row r="216" spans="4:4">
      <c r="D216">
        <f>IF(ISBLANK(Working_Copy!F216), VLOOKUP(Working_Copy!B216, Data_Imputation!$A$2:$B$10, 2, FALSE), Working_Copy!F216)</f>
        <v>988457</v>
      </c>
    </row>
    <row r="217" spans="4:4">
      <c r="D217">
        <f>IF(ISBLANK(Working_Copy!F217), VLOOKUP(Working_Copy!B217, Data_Imputation!$A$2:$B$10, 2, FALSE), Working_Copy!F217)</f>
        <v>3260358</v>
      </c>
    </row>
    <row r="218" spans="4:4">
      <c r="D218">
        <f>IF(ISBLANK(Working_Copy!F218), VLOOKUP(Working_Copy!B218, Data_Imputation!$A$2:$B$10, 2, FALSE), Working_Copy!F218)</f>
        <v>1363159</v>
      </c>
    </row>
    <row r="219" spans="4:4">
      <c r="D219">
        <f>IF(ISBLANK(Working_Copy!F219), VLOOKUP(Working_Copy!B219, Data_Imputation!$A$2:$B$10, 2, FALSE), Working_Copy!F219)</f>
        <v>1217299</v>
      </c>
    </row>
    <row r="220" spans="4:4">
      <c r="D220">
        <f>IF(ISBLANK(Working_Copy!F220), VLOOKUP(Working_Copy!B220, Data_Imputation!$A$2:$B$10, 2, FALSE), Working_Copy!F220)</f>
        <v>1329726</v>
      </c>
    </row>
    <row r="221" spans="4:4">
      <c r="D221">
        <f>IF(ISBLANK(Working_Copy!F221), VLOOKUP(Working_Copy!B221, Data_Imputation!$A$2:$B$10, 2, FALSE), Working_Copy!F221)</f>
        <v>1528912</v>
      </c>
    </row>
    <row r="222" spans="4:4">
      <c r="D222">
        <f>IF(ISBLANK(Working_Copy!F222), VLOOKUP(Working_Copy!B222, Data_Imputation!$A$2:$B$10, 2, FALSE), Working_Copy!F222)</f>
        <v>1458677</v>
      </c>
    </row>
    <row r="223" spans="4:4">
      <c r="D223">
        <f>IF(ISBLANK(Working_Copy!F223), VLOOKUP(Working_Copy!B223, Data_Imputation!$A$2:$B$10, 2, FALSE), Working_Copy!F223)</f>
        <v>278515</v>
      </c>
    </row>
    <row r="224" spans="4:4">
      <c r="D224">
        <f>IF(ISBLANK(Working_Copy!F224), VLOOKUP(Working_Copy!B224, Data_Imputation!$A$2:$B$10, 2, FALSE), Working_Copy!F224)</f>
        <v>3433292</v>
      </c>
    </row>
    <row r="225" spans="4:4">
      <c r="D225">
        <f>IF(ISBLANK(Working_Copy!F225), VLOOKUP(Working_Copy!B225, Data_Imputation!$A$2:$B$10, 2, FALSE), Working_Copy!F225)</f>
        <v>2838083</v>
      </c>
    </row>
    <row r="226" spans="4:4">
      <c r="D226">
        <f>IF(ISBLANK(Working_Copy!F226), VLOOKUP(Working_Copy!B226, Data_Imputation!$A$2:$B$10, 2, FALSE), Working_Copy!F226)</f>
        <v>2673147</v>
      </c>
    </row>
    <row r="227" spans="4:4">
      <c r="D227">
        <f>IF(ISBLANK(Working_Copy!F227), VLOOKUP(Working_Copy!B227, Data_Imputation!$A$2:$B$10, 2, FALSE), Working_Copy!F227)</f>
        <v>1707586</v>
      </c>
    </row>
    <row r="228" spans="4:4">
      <c r="D228">
        <f>IF(ISBLANK(Working_Copy!F228), VLOOKUP(Working_Copy!B228, Data_Imputation!$A$2:$B$10, 2, FALSE), Working_Copy!F228)</f>
        <v>615173</v>
      </c>
    </row>
    <row r="229" spans="4:4">
      <c r="D229">
        <f>IF(ISBLANK(Working_Copy!F229), VLOOKUP(Working_Copy!B229, Data_Imputation!$A$2:$B$10, 2, FALSE), Working_Copy!F229)</f>
        <v>2509093</v>
      </c>
    </row>
    <row r="230" spans="4:4">
      <c r="D230">
        <f>IF(ISBLANK(Working_Copy!F230), VLOOKUP(Working_Copy!B230, Data_Imputation!$A$2:$B$10, 2, FALSE), Working_Copy!F230)</f>
        <v>1063823</v>
      </c>
    </row>
    <row r="231" spans="4:4">
      <c r="D231">
        <f>IF(ISBLANK(Working_Copy!F231), VLOOKUP(Working_Copy!B231, Data_Imputation!$A$2:$B$10, 2, FALSE), Working_Copy!F231)</f>
        <v>3297525</v>
      </c>
    </row>
    <row r="232" spans="4:4">
      <c r="D232">
        <f>IF(ISBLANK(Working_Copy!F232), VLOOKUP(Working_Copy!B232, Data_Imputation!$A$2:$B$10, 2, FALSE), Working_Copy!F232)</f>
        <v>2173787</v>
      </c>
    </row>
    <row r="233" spans="4:4">
      <c r="D233">
        <f>IF(ISBLANK(Working_Copy!F233), VLOOKUP(Working_Copy!B233, Data_Imputation!$A$2:$B$10, 2, FALSE), Working_Copy!F233)</f>
        <v>3544202</v>
      </c>
    </row>
    <row r="234" spans="4:4">
      <c r="D234">
        <f>IF(ISBLANK(Working_Copy!F234), VLOOKUP(Working_Copy!B234, Data_Imputation!$A$2:$B$10, 2, FALSE), Working_Copy!F234)</f>
        <v>1957620</v>
      </c>
    </row>
    <row r="235" spans="4:4">
      <c r="D235">
        <f>IF(ISBLANK(Working_Copy!F235), VLOOKUP(Working_Copy!B235, Data_Imputation!$A$2:$B$10, 2, FALSE), Working_Copy!F235)</f>
        <v>1374423</v>
      </c>
    </row>
    <row r="236" spans="4:4">
      <c r="D236">
        <f>IF(ISBLANK(Working_Copy!F236), VLOOKUP(Working_Copy!B236, Data_Imputation!$A$2:$B$10, 2, FALSE), Working_Copy!F236)</f>
        <v>1811973</v>
      </c>
    </row>
    <row r="237" spans="4:4">
      <c r="D237">
        <f>IF(ISBLANK(Working_Copy!F237), VLOOKUP(Working_Copy!B237, Data_Imputation!$A$2:$B$10, 2, FALSE), Working_Copy!F237)</f>
        <v>2765760</v>
      </c>
    </row>
    <row r="238" spans="4:4">
      <c r="D238">
        <f>IF(ISBLANK(Working_Copy!F238), VLOOKUP(Working_Copy!B238, Data_Imputation!$A$2:$B$10, 2, FALSE), Working_Copy!F238)</f>
        <v>2291574</v>
      </c>
    </row>
    <row r="239" spans="4:4">
      <c r="D239">
        <f>IF(ISBLANK(Working_Copy!F239), VLOOKUP(Working_Copy!B239, Data_Imputation!$A$2:$B$10, 2, FALSE), Working_Copy!F239)</f>
        <v>897685</v>
      </c>
    </row>
    <row r="240" spans="4:4">
      <c r="D240">
        <f>IF(ISBLANK(Working_Copy!F240), VLOOKUP(Working_Copy!B240, Data_Imputation!$A$2:$B$10, 2, FALSE), Working_Copy!F240)</f>
        <v>3903778</v>
      </c>
    </row>
    <row r="241" spans="4:4">
      <c r="D241">
        <f>IF(ISBLANK(Working_Copy!F241), VLOOKUP(Working_Copy!B241, Data_Imputation!$A$2:$B$10, 2, FALSE), Working_Copy!F241)</f>
        <v>2128968</v>
      </c>
    </row>
    <row r="242" spans="4:4">
      <c r="D242" t="e">
        <f>IF(ISBLANK(Working_Copy!F242), VLOOKUP(Working_Copy!B242, Data_Imputation!$A$2:$B$10, 2, FALSE), Working_Copy!F242)</f>
        <v>#N/A</v>
      </c>
    </row>
    <row r="243" spans="4:4">
      <c r="D243" t="e">
        <f>IF(ISBLANK(Working_Copy!F243), VLOOKUP(Working_Copy!B243, Data_Imputation!$A$2:$B$10, 2, FALSE), Working_Copy!F243)</f>
        <v>#N/A</v>
      </c>
    </row>
    <row r="244" spans="4:4">
      <c r="D244" t="e">
        <f>IF(ISBLANK(Working_Copy!F244), VLOOKUP(Working_Copy!B244, Data_Imputation!$A$2:$B$10, 2, FALSE), Working_Copy!F244)</f>
        <v>#N/A</v>
      </c>
    </row>
    <row r="245" spans="4:4">
      <c r="D245" t="e">
        <f>IF(ISBLANK(Working_Copy!F245), VLOOKUP(Working_Copy!B245, Data_Imputation!$A$2:$B$10, 2, FALSE), Working_Copy!F245)</f>
        <v>#N/A</v>
      </c>
    </row>
    <row r="246" spans="4:4">
      <c r="D246" t="e">
        <f>IF(ISBLANK(Working_Copy!F246), VLOOKUP(Working_Copy!B246, Data_Imputation!$A$2:$B$10, 2, FALSE), Working_Copy!F246)</f>
        <v>#N/A</v>
      </c>
    </row>
    <row r="247" spans="4:4">
      <c r="D247" t="e">
        <f>IF(ISBLANK(Working_Copy!F247), VLOOKUP(Working_Copy!B247, Data_Imputation!$A$2:$B$10, 2, FALSE), Working_Copy!F247)</f>
        <v>#N/A</v>
      </c>
    </row>
    <row r="248" spans="4:4">
      <c r="D248" t="e">
        <f>IF(ISBLANK(Working_Copy!F248), VLOOKUP(Working_Copy!B248, Data_Imputation!$A$2:$B$10, 2, FALSE), Working_Copy!F248)</f>
        <v>#N/A</v>
      </c>
    </row>
    <row r="249" spans="4:4">
      <c r="D249" t="e">
        <f>IF(ISBLANK(Working_Copy!F249), VLOOKUP(Working_Copy!B249, Data_Imputation!$A$2:$B$10, 2, FALSE), Working_Copy!F249)</f>
        <v>#N/A</v>
      </c>
    </row>
    <row r="250" spans="4:4">
      <c r="D250" t="e">
        <f>IF(ISBLANK(Working_Copy!F250), VLOOKUP(Working_Copy!B250, Data_Imputation!$A$2:$B$10, 2, FALSE), Working_Copy!F250)</f>
        <v>#N/A</v>
      </c>
    </row>
    <row r="251" spans="4:4">
      <c r="D251" t="e">
        <f>IF(ISBLANK(Working_Copy!F251), VLOOKUP(Working_Copy!B251, Data_Imputation!$A$2:$B$10, 2, FALSE), Working_Copy!F251)</f>
        <v>#N/A</v>
      </c>
    </row>
    <row r="252" spans="4:4">
      <c r="D252" t="e">
        <f>IF(ISBLANK(Working_Copy!F252), VLOOKUP(Working_Copy!B252, Data_Imputation!$A$2:$B$10, 2, FALSE), Working_Copy!F252)</f>
        <v>#N/A</v>
      </c>
    </row>
    <row r="253" spans="4:4">
      <c r="D253" t="e">
        <f>IF(ISBLANK(Working_Copy!F253), VLOOKUP(Working_Copy!B253, Data_Imputation!$A$2:$B$10, 2, FALSE), Working_Copy!F253)</f>
        <v>#N/A</v>
      </c>
    </row>
    <row r="254" spans="4:4">
      <c r="D254" t="e">
        <f>IF(ISBLANK(Working_Copy!F254), VLOOKUP(Working_Copy!B254, Data_Imputation!$A$2:$B$10, 2, FALSE), Working_Copy!F254)</f>
        <v>#N/A</v>
      </c>
    </row>
    <row r="255" spans="4:4">
      <c r="D255" t="e">
        <f>IF(ISBLANK(Working_Copy!F255), VLOOKUP(Working_Copy!B255, Data_Imputation!$A$2:$B$10, 2, FALSE), Working_Copy!F255)</f>
        <v>#N/A</v>
      </c>
    </row>
    <row r="256" spans="4:4">
      <c r="D256" t="e">
        <f>IF(ISBLANK(Working_Copy!F256), VLOOKUP(Working_Copy!B256, Data_Imputation!$A$2:$B$10, 2, FALSE), Working_Copy!F256)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5615-D6A4-4EF9-9F73-7E022F9374AF}">
  <dimension ref="A1:J5"/>
  <sheetViews>
    <sheetView workbookViewId="0">
      <selection activeCell="F1" sqref="F1"/>
    </sheetView>
  </sheetViews>
  <sheetFormatPr defaultRowHeight="15"/>
  <cols>
    <col min="1" max="1" width="18.7109375" customWidth="1"/>
    <col min="10" max="10" width="14.5703125" bestFit="1" customWidth="1"/>
  </cols>
  <sheetData>
    <row r="1" spans="1:10">
      <c r="A1" s="2" t="s">
        <v>28</v>
      </c>
      <c r="B1">
        <f>_xlfn.QUARTILE.INC(Working_Copy!F:F,1)</f>
        <v>948702.5</v>
      </c>
      <c r="C1">
        <f>_xlfn.QUARTILE.INC(Working_Copy!F:F,3)</f>
        <v>2874413.25</v>
      </c>
      <c r="D1">
        <f xml:space="preserve"> C1 - B1</f>
        <v>1925710.75</v>
      </c>
      <c r="E1">
        <f xml:space="preserve"> B1 - 1.5 * D1</f>
        <v>-1939863.625</v>
      </c>
      <c r="F1">
        <f xml:space="preserve"> C1 + 1.5 * D1</f>
        <v>5762979.375</v>
      </c>
      <c r="J1" t="s">
        <v>29</v>
      </c>
    </row>
    <row r="2" spans="1:10">
      <c r="J2" t="s">
        <v>30</v>
      </c>
    </row>
    <row r="3" spans="1:10">
      <c r="J3" t="s">
        <v>31</v>
      </c>
    </row>
    <row r="4" spans="1:10">
      <c r="J4" t="s">
        <v>32</v>
      </c>
    </row>
    <row r="5" spans="1:10">
      <c r="J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72CB-D8B6-4D6F-831F-8CE45BCCD337}">
  <dimension ref="A1:H241"/>
  <sheetViews>
    <sheetView workbookViewId="0">
      <selection activeCell="C1" sqref="C1"/>
    </sheetView>
  </sheetViews>
  <sheetFormatPr defaultRowHeight="15"/>
  <cols>
    <col min="1" max="1" width="8.85546875" bestFit="1" customWidth="1"/>
    <col min="2" max="2" width="16.140625" bestFit="1" customWidth="1"/>
    <col min="3" max="3" width="13.5703125" bestFit="1" customWidth="1"/>
    <col min="4" max="4" width="6.85546875" bestFit="1" customWidth="1"/>
    <col min="5" max="5" width="20.7109375" customWidth="1"/>
    <col min="6" max="6" width="24.85546875" bestFit="1" customWidth="1"/>
    <col min="7" max="7" width="11.85546875" bestFit="1" customWidth="1"/>
    <col min="8" max="8" width="14.140625" bestFit="1" customWidth="1"/>
    <col min="9" max="9" width="18.7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5</v>
      </c>
      <c r="G1" s="2" t="s">
        <v>6</v>
      </c>
      <c r="H1" s="2" t="s">
        <v>7</v>
      </c>
    </row>
    <row r="2" spans="1:8">
      <c r="A2">
        <v>1083</v>
      </c>
      <c r="B2" t="s">
        <v>8</v>
      </c>
      <c r="C2" t="s">
        <v>9</v>
      </c>
      <c r="D2">
        <v>45227</v>
      </c>
      <c r="E2">
        <v>4639363</v>
      </c>
      <c r="F2">
        <v>1635977</v>
      </c>
      <c r="G2">
        <v>416</v>
      </c>
      <c r="H2" t="s">
        <v>10</v>
      </c>
    </row>
    <row r="3" spans="1:8">
      <c r="A3">
        <v>1018</v>
      </c>
      <c r="B3" t="s">
        <v>11</v>
      </c>
      <c r="C3" t="s">
        <v>12</v>
      </c>
      <c r="D3">
        <v>45167</v>
      </c>
      <c r="E3">
        <v>4659611</v>
      </c>
      <c r="F3">
        <v>2338410</v>
      </c>
      <c r="G3">
        <v>102</v>
      </c>
      <c r="H3" t="s">
        <v>10</v>
      </c>
    </row>
    <row r="4" spans="1:8">
      <c r="A4">
        <v>1036</v>
      </c>
      <c r="B4" t="s">
        <v>13</v>
      </c>
      <c r="C4" t="s">
        <v>14</v>
      </c>
      <c r="D4">
        <v>45137</v>
      </c>
      <c r="E4">
        <v>4131670</v>
      </c>
      <c r="F4">
        <v>441839</v>
      </c>
      <c r="G4">
        <v>440</v>
      </c>
      <c r="H4" t="s">
        <v>15</v>
      </c>
    </row>
    <row r="5" spans="1:8">
      <c r="A5">
        <v>1083</v>
      </c>
      <c r="B5" t="s">
        <v>16</v>
      </c>
      <c r="C5" t="s">
        <v>17</v>
      </c>
      <c r="D5">
        <v>44957</v>
      </c>
      <c r="E5">
        <v>2003974</v>
      </c>
      <c r="F5">
        <v>1860224</v>
      </c>
      <c r="G5">
        <v>303</v>
      </c>
      <c r="H5" t="s">
        <v>18</v>
      </c>
    </row>
    <row r="6" spans="1:8">
      <c r="A6">
        <v>1081</v>
      </c>
      <c r="B6" t="s">
        <v>11</v>
      </c>
      <c r="C6" t="s">
        <v>19</v>
      </c>
      <c r="D6">
        <v>44957</v>
      </c>
      <c r="E6">
        <v>2372343</v>
      </c>
      <c r="F6">
        <v>476215</v>
      </c>
      <c r="G6">
        <v>171</v>
      </c>
      <c r="H6" t="s">
        <v>15</v>
      </c>
    </row>
    <row r="7" spans="1:8">
      <c r="A7">
        <v>1025</v>
      </c>
      <c r="B7" t="s">
        <v>11</v>
      </c>
      <c r="C7" t="s">
        <v>19</v>
      </c>
      <c r="D7">
        <v>45197</v>
      </c>
      <c r="E7">
        <v>3892400</v>
      </c>
      <c r="F7">
        <v>3666639</v>
      </c>
      <c r="G7">
        <v>354</v>
      </c>
      <c r="H7" t="s">
        <v>20</v>
      </c>
    </row>
    <row r="8" spans="1:8">
      <c r="A8">
        <v>1010</v>
      </c>
      <c r="B8" t="s">
        <v>8</v>
      </c>
      <c r="C8" t="s">
        <v>14</v>
      </c>
      <c r="D8">
        <v>45077</v>
      </c>
      <c r="E8">
        <v>2949325</v>
      </c>
      <c r="F8">
        <v>3714836</v>
      </c>
      <c r="G8">
        <v>252</v>
      </c>
      <c r="H8" t="s">
        <v>18</v>
      </c>
    </row>
    <row r="9" spans="1:8">
      <c r="A9">
        <v>1017</v>
      </c>
      <c r="B9" t="s">
        <v>16</v>
      </c>
      <c r="C9" t="s">
        <v>14</v>
      </c>
      <c r="D9">
        <v>45107</v>
      </c>
      <c r="E9">
        <v>3746226</v>
      </c>
      <c r="F9">
        <v>1845913</v>
      </c>
      <c r="G9">
        <v>349</v>
      </c>
      <c r="H9" t="s">
        <v>15</v>
      </c>
    </row>
    <row r="10" spans="1:8">
      <c r="A10">
        <v>1017</v>
      </c>
      <c r="B10" t="s">
        <v>11</v>
      </c>
      <c r="C10" t="s">
        <v>19</v>
      </c>
      <c r="D10">
        <v>45167</v>
      </c>
      <c r="E10">
        <v>1705270</v>
      </c>
      <c r="F10">
        <v>2802690</v>
      </c>
      <c r="G10">
        <v>285</v>
      </c>
      <c r="H10" t="s">
        <v>20</v>
      </c>
    </row>
    <row r="11" spans="1:8">
      <c r="A11">
        <v>1074</v>
      </c>
      <c r="B11" t="s">
        <v>21</v>
      </c>
      <c r="C11" t="s">
        <v>9</v>
      </c>
      <c r="D11">
        <v>44927</v>
      </c>
      <c r="E11">
        <v>3097663</v>
      </c>
      <c r="F11">
        <v>3201761</v>
      </c>
      <c r="G11">
        <v>432</v>
      </c>
      <c r="H11" t="s">
        <v>20</v>
      </c>
    </row>
    <row r="12" spans="1:8">
      <c r="A12">
        <v>1090</v>
      </c>
      <c r="B12" t="s">
        <v>8</v>
      </c>
      <c r="C12" t="s">
        <v>17</v>
      </c>
      <c r="D12">
        <v>45257</v>
      </c>
      <c r="E12">
        <v>1123919</v>
      </c>
      <c r="F12">
        <v>3659977</v>
      </c>
      <c r="G12">
        <v>11</v>
      </c>
      <c r="H12" t="s">
        <v>18</v>
      </c>
    </row>
    <row r="13" spans="1:8">
      <c r="A13">
        <v>1100</v>
      </c>
      <c r="B13" t="s">
        <v>21</v>
      </c>
      <c r="C13" t="s">
        <v>9</v>
      </c>
      <c r="D13">
        <v>45197</v>
      </c>
      <c r="E13">
        <v>693858</v>
      </c>
      <c r="F13">
        <v>3013231</v>
      </c>
      <c r="G13">
        <v>122</v>
      </c>
      <c r="H13" t="s">
        <v>15</v>
      </c>
    </row>
    <row r="14" spans="1:8">
      <c r="A14">
        <v>1045</v>
      </c>
      <c r="B14" t="s">
        <v>16</v>
      </c>
      <c r="C14" t="s">
        <v>9</v>
      </c>
      <c r="D14">
        <v>45197</v>
      </c>
      <c r="E14">
        <v>4023427</v>
      </c>
      <c r="F14">
        <v>3516451</v>
      </c>
      <c r="G14">
        <v>303</v>
      </c>
      <c r="H14" t="s">
        <v>15</v>
      </c>
    </row>
    <row r="15" spans="1:8">
      <c r="A15">
        <v>1019</v>
      </c>
      <c r="B15" t="s">
        <v>8</v>
      </c>
      <c r="C15" t="s">
        <v>17</v>
      </c>
      <c r="D15">
        <v>44927</v>
      </c>
      <c r="E15">
        <v>3252888</v>
      </c>
      <c r="F15">
        <v>696422</v>
      </c>
      <c r="G15">
        <v>110</v>
      </c>
      <c r="H15" t="s">
        <v>10</v>
      </c>
    </row>
    <row r="16" spans="1:8">
      <c r="A16">
        <v>1073</v>
      </c>
      <c r="B16" t="s">
        <v>21</v>
      </c>
      <c r="C16" t="s">
        <v>12</v>
      </c>
      <c r="D16">
        <v>45077</v>
      </c>
      <c r="E16">
        <v>1178459</v>
      </c>
      <c r="F16">
        <v>1141091</v>
      </c>
      <c r="G16">
        <v>445</v>
      </c>
      <c r="H16" t="s">
        <v>18</v>
      </c>
    </row>
    <row r="17" spans="1:8">
      <c r="A17">
        <v>1017</v>
      </c>
      <c r="B17" t="s">
        <v>13</v>
      </c>
      <c r="C17" t="s">
        <v>9</v>
      </c>
      <c r="D17">
        <v>45167</v>
      </c>
      <c r="E17">
        <v>1607913</v>
      </c>
      <c r="F17">
        <v>2430792</v>
      </c>
      <c r="G17">
        <v>311</v>
      </c>
      <c r="H17" t="s">
        <v>18</v>
      </c>
    </row>
    <row r="18" spans="1:8">
      <c r="A18">
        <v>1098</v>
      </c>
      <c r="B18" t="s">
        <v>11</v>
      </c>
      <c r="C18" t="s">
        <v>9</v>
      </c>
      <c r="D18">
        <v>44987</v>
      </c>
      <c r="E18">
        <v>4322908</v>
      </c>
      <c r="F18">
        <v>2767619</v>
      </c>
      <c r="G18">
        <v>242</v>
      </c>
      <c r="H18" t="s">
        <v>10</v>
      </c>
    </row>
    <row r="19" spans="1:8">
      <c r="A19">
        <v>1068</v>
      </c>
      <c r="B19" t="s">
        <v>16</v>
      </c>
      <c r="C19" t="s">
        <v>12</v>
      </c>
      <c r="D19">
        <v>45077</v>
      </c>
      <c r="E19">
        <v>2771686</v>
      </c>
      <c r="F19">
        <v>517378</v>
      </c>
      <c r="G19">
        <v>480</v>
      </c>
      <c r="H19" t="s">
        <v>10</v>
      </c>
    </row>
    <row r="20" spans="1:8">
      <c r="A20">
        <v>1087</v>
      </c>
      <c r="B20" t="s">
        <v>21</v>
      </c>
      <c r="C20" t="s">
        <v>14</v>
      </c>
      <c r="D20">
        <v>45197</v>
      </c>
      <c r="E20">
        <v>342549</v>
      </c>
      <c r="F20">
        <v>2569056</v>
      </c>
      <c r="G20">
        <v>221</v>
      </c>
      <c r="H20" t="s">
        <v>20</v>
      </c>
    </row>
    <row r="21" spans="1:8">
      <c r="A21">
        <v>1001</v>
      </c>
      <c r="B21" t="s">
        <v>11</v>
      </c>
      <c r="C21" t="s">
        <v>17</v>
      </c>
      <c r="D21">
        <v>44957</v>
      </c>
      <c r="E21">
        <v>2803387</v>
      </c>
      <c r="F21">
        <v>1134328</v>
      </c>
      <c r="G21">
        <v>43</v>
      </c>
      <c r="H21" t="s">
        <v>10</v>
      </c>
    </row>
    <row r="22" spans="1:8">
      <c r="A22">
        <v>1000</v>
      </c>
      <c r="B22" t="s">
        <v>13</v>
      </c>
      <c r="C22" t="s">
        <v>14</v>
      </c>
      <c r="D22">
        <v>45167</v>
      </c>
      <c r="E22">
        <v>473390</v>
      </c>
      <c r="F22">
        <v>1692324</v>
      </c>
      <c r="G22">
        <v>474</v>
      </c>
      <c r="H22" t="s">
        <v>20</v>
      </c>
    </row>
    <row r="23" spans="1:8">
      <c r="A23">
        <v>1071</v>
      </c>
      <c r="B23" t="s">
        <v>21</v>
      </c>
      <c r="C23" t="s">
        <v>9</v>
      </c>
      <c r="D23">
        <v>44987</v>
      </c>
      <c r="E23">
        <v>4898368</v>
      </c>
      <c r="F23">
        <v>3380191</v>
      </c>
      <c r="G23">
        <v>461</v>
      </c>
      <c r="H23" t="s">
        <v>20</v>
      </c>
    </row>
    <row r="24" spans="1:8">
      <c r="A24">
        <v>1027</v>
      </c>
      <c r="B24" t="s">
        <v>8</v>
      </c>
      <c r="C24" t="s">
        <v>14</v>
      </c>
      <c r="D24">
        <v>45197</v>
      </c>
      <c r="E24">
        <v>2898366</v>
      </c>
      <c r="F24">
        <v>3450001</v>
      </c>
      <c r="G24">
        <v>17</v>
      </c>
      <c r="H24" t="s">
        <v>10</v>
      </c>
    </row>
    <row r="25" spans="1:8">
      <c r="A25">
        <v>1010</v>
      </c>
      <c r="B25" t="s">
        <v>8</v>
      </c>
      <c r="C25" t="s">
        <v>9</v>
      </c>
      <c r="D25">
        <v>45077</v>
      </c>
      <c r="E25">
        <v>4027137</v>
      </c>
      <c r="F25">
        <v>2184787</v>
      </c>
      <c r="G25">
        <v>406</v>
      </c>
      <c r="H25" t="s">
        <v>10</v>
      </c>
    </row>
    <row r="26" spans="1:8">
      <c r="A26">
        <v>1054</v>
      </c>
      <c r="B26" t="s">
        <v>11</v>
      </c>
      <c r="C26" t="s">
        <v>22</v>
      </c>
      <c r="D26">
        <v>45167</v>
      </c>
      <c r="E26">
        <v>3869788</v>
      </c>
      <c r="F26">
        <v>208069</v>
      </c>
      <c r="G26">
        <v>206</v>
      </c>
      <c r="H26" t="s">
        <v>20</v>
      </c>
    </row>
    <row r="27" spans="1:8">
      <c r="A27">
        <v>1004</v>
      </c>
      <c r="B27" t="s">
        <v>8</v>
      </c>
      <c r="C27" t="s">
        <v>14</v>
      </c>
      <c r="D27">
        <v>45137</v>
      </c>
      <c r="E27">
        <v>2487481</v>
      </c>
      <c r="F27">
        <v>995892</v>
      </c>
      <c r="G27">
        <v>240</v>
      </c>
      <c r="H27" t="s">
        <v>18</v>
      </c>
    </row>
    <row r="28" spans="1:8">
      <c r="A28">
        <v>1064</v>
      </c>
      <c r="B28" t="s">
        <v>16</v>
      </c>
      <c r="C28" t="s">
        <v>17</v>
      </c>
      <c r="D28">
        <v>45227</v>
      </c>
      <c r="E28">
        <v>2260935</v>
      </c>
      <c r="F28">
        <v>3491578</v>
      </c>
      <c r="G28">
        <v>357</v>
      </c>
      <c r="H28" t="s">
        <v>20</v>
      </c>
    </row>
    <row r="29" spans="1:8">
      <c r="A29">
        <v>1062</v>
      </c>
      <c r="B29" t="s">
        <v>11</v>
      </c>
      <c r="C29" t="s">
        <v>9</v>
      </c>
      <c r="D29">
        <v>45047</v>
      </c>
      <c r="E29">
        <v>238388</v>
      </c>
      <c r="F29">
        <v>108337</v>
      </c>
      <c r="G29">
        <v>257</v>
      </c>
      <c r="H29" t="s">
        <v>20</v>
      </c>
    </row>
    <row r="30" spans="1:8">
      <c r="A30">
        <v>1009</v>
      </c>
      <c r="B30" t="s">
        <v>8</v>
      </c>
      <c r="C30" t="s">
        <v>9</v>
      </c>
      <c r="D30">
        <v>45077</v>
      </c>
      <c r="E30">
        <v>2426489</v>
      </c>
      <c r="F30">
        <v>1218472</v>
      </c>
      <c r="G30">
        <v>292</v>
      </c>
      <c r="H30" t="s">
        <v>18</v>
      </c>
    </row>
    <row r="31" spans="1:8">
      <c r="A31">
        <v>1100</v>
      </c>
      <c r="B31" t="s">
        <v>8</v>
      </c>
      <c r="C31" t="s">
        <v>14</v>
      </c>
      <c r="D31">
        <v>44957</v>
      </c>
      <c r="E31">
        <v>3530338</v>
      </c>
      <c r="F31">
        <v>3624978</v>
      </c>
      <c r="G31">
        <v>358</v>
      </c>
      <c r="H31" t="s">
        <v>18</v>
      </c>
    </row>
    <row r="32" spans="1:8">
      <c r="A32">
        <v>1055</v>
      </c>
      <c r="B32" t="s">
        <v>8</v>
      </c>
      <c r="C32" t="s">
        <v>19</v>
      </c>
      <c r="D32">
        <v>45077</v>
      </c>
      <c r="E32">
        <v>4773967</v>
      </c>
      <c r="F32">
        <v>1298004</v>
      </c>
      <c r="G32">
        <v>420</v>
      </c>
      <c r="H32" t="s">
        <v>10</v>
      </c>
    </row>
    <row r="33" spans="1:8">
      <c r="A33">
        <v>1002</v>
      </c>
      <c r="B33" t="s">
        <v>13</v>
      </c>
      <c r="C33" t="s">
        <v>9</v>
      </c>
      <c r="D33">
        <v>45077</v>
      </c>
      <c r="E33">
        <v>108728</v>
      </c>
      <c r="F33">
        <v>3469585</v>
      </c>
      <c r="G33">
        <v>234</v>
      </c>
      <c r="H33" t="s">
        <v>15</v>
      </c>
    </row>
    <row r="34" spans="1:8">
      <c r="A34">
        <v>1061</v>
      </c>
      <c r="B34" t="s">
        <v>16</v>
      </c>
      <c r="C34" t="s">
        <v>12</v>
      </c>
      <c r="D34">
        <v>45077</v>
      </c>
      <c r="E34">
        <v>-1939863.625</v>
      </c>
      <c r="F34">
        <v>2229732</v>
      </c>
      <c r="G34">
        <v>52</v>
      </c>
      <c r="H34" t="s">
        <v>18</v>
      </c>
    </row>
    <row r="35" spans="1:8">
      <c r="A35">
        <v>1096</v>
      </c>
      <c r="B35" t="s">
        <v>13</v>
      </c>
      <c r="C35" t="s">
        <v>17</v>
      </c>
      <c r="D35">
        <v>44927</v>
      </c>
      <c r="E35">
        <v>4317765</v>
      </c>
      <c r="F35">
        <v>1365869</v>
      </c>
      <c r="G35">
        <v>153</v>
      </c>
      <c r="H35" t="s">
        <v>18</v>
      </c>
    </row>
    <row r="36" spans="1:8">
      <c r="A36">
        <v>1029</v>
      </c>
      <c r="B36" t="s">
        <v>21</v>
      </c>
      <c r="C36" t="s">
        <v>19</v>
      </c>
      <c r="D36">
        <v>45167</v>
      </c>
      <c r="E36">
        <v>866060</v>
      </c>
      <c r="F36">
        <v>1027675</v>
      </c>
      <c r="G36">
        <v>447</v>
      </c>
      <c r="H36" t="s">
        <v>15</v>
      </c>
    </row>
    <row r="37" spans="1:8">
      <c r="A37">
        <v>1090</v>
      </c>
      <c r="B37" t="s">
        <v>21</v>
      </c>
      <c r="C37" t="s">
        <v>9</v>
      </c>
      <c r="D37">
        <v>44927</v>
      </c>
      <c r="E37">
        <v>3140289</v>
      </c>
      <c r="F37">
        <v>399553</v>
      </c>
      <c r="G37">
        <v>390</v>
      </c>
      <c r="H37" t="s">
        <v>10</v>
      </c>
    </row>
    <row r="38" spans="1:8">
      <c r="A38">
        <v>1001</v>
      </c>
      <c r="B38" t="s">
        <v>13</v>
      </c>
      <c r="C38" t="s">
        <v>12</v>
      </c>
      <c r="D38">
        <v>44957</v>
      </c>
      <c r="E38">
        <v>1307384</v>
      </c>
      <c r="F38">
        <v>2553790</v>
      </c>
      <c r="G38">
        <v>77</v>
      </c>
      <c r="H38" t="s">
        <v>20</v>
      </c>
    </row>
    <row r="39" spans="1:8">
      <c r="A39">
        <v>1009</v>
      </c>
      <c r="B39" t="s">
        <v>8</v>
      </c>
      <c r="C39" t="s">
        <v>17</v>
      </c>
      <c r="D39">
        <v>45197</v>
      </c>
      <c r="E39">
        <v>3115906</v>
      </c>
      <c r="F39">
        <v>361418</v>
      </c>
      <c r="G39">
        <v>327</v>
      </c>
      <c r="H39" t="s">
        <v>18</v>
      </c>
    </row>
    <row r="40" spans="1:8">
      <c r="A40">
        <v>1016</v>
      </c>
      <c r="B40" t="s">
        <v>16</v>
      </c>
      <c r="C40" t="s">
        <v>17</v>
      </c>
      <c r="D40">
        <v>44987</v>
      </c>
      <c r="E40">
        <v>673917</v>
      </c>
      <c r="F40">
        <v>2643695</v>
      </c>
      <c r="G40">
        <v>403</v>
      </c>
      <c r="H40" t="s">
        <v>18</v>
      </c>
    </row>
    <row r="41" spans="1:8">
      <c r="A41">
        <v>1038</v>
      </c>
      <c r="B41" t="s">
        <v>13</v>
      </c>
      <c r="C41" t="s">
        <v>19</v>
      </c>
      <c r="D41">
        <v>44987</v>
      </c>
      <c r="E41">
        <v>2367694</v>
      </c>
      <c r="F41">
        <v>1528912</v>
      </c>
      <c r="G41">
        <v>333</v>
      </c>
      <c r="H41" t="s">
        <v>20</v>
      </c>
    </row>
    <row r="42" spans="1:8">
      <c r="A42">
        <v>1055</v>
      </c>
      <c r="B42" t="s">
        <v>8</v>
      </c>
      <c r="C42" t="s">
        <v>12</v>
      </c>
      <c r="D42">
        <v>44957</v>
      </c>
      <c r="E42">
        <v>3837075</v>
      </c>
      <c r="F42">
        <v>901178</v>
      </c>
      <c r="G42">
        <v>192</v>
      </c>
      <c r="H42" t="s">
        <v>15</v>
      </c>
    </row>
    <row r="43" spans="1:8">
      <c r="A43">
        <v>1091</v>
      </c>
      <c r="B43" t="s">
        <v>21</v>
      </c>
      <c r="C43" t="s">
        <v>17</v>
      </c>
      <c r="D43">
        <v>45197</v>
      </c>
      <c r="E43">
        <v>4259609</v>
      </c>
      <c r="F43">
        <v>3549750</v>
      </c>
      <c r="G43">
        <v>189</v>
      </c>
      <c r="H43" t="s">
        <v>15</v>
      </c>
    </row>
    <row r="44" spans="1:8">
      <c r="A44">
        <v>1078</v>
      </c>
      <c r="B44" t="s">
        <v>8</v>
      </c>
      <c r="C44" t="s">
        <v>9</v>
      </c>
      <c r="D44">
        <v>45017</v>
      </c>
      <c r="E44">
        <v>3721080</v>
      </c>
      <c r="F44">
        <v>2734770</v>
      </c>
      <c r="G44">
        <v>237</v>
      </c>
      <c r="H44" t="s">
        <v>15</v>
      </c>
    </row>
    <row r="45" spans="1:8">
      <c r="A45">
        <v>1094</v>
      </c>
      <c r="B45" t="s">
        <v>16</v>
      </c>
      <c r="C45" t="s">
        <v>14</v>
      </c>
      <c r="D45">
        <v>44957</v>
      </c>
      <c r="E45">
        <v>3259910</v>
      </c>
      <c r="F45">
        <v>835637</v>
      </c>
      <c r="G45">
        <v>10</v>
      </c>
      <c r="H45" t="s">
        <v>20</v>
      </c>
    </row>
    <row r="46" spans="1:8">
      <c r="A46">
        <v>1003</v>
      </c>
      <c r="B46" t="s">
        <v>11</v>
      </c>
      <c r="C46" t="s">
        <v>9</v>
      </c>
      <c r="D46">
        <v>45167</v>
      </c>
      <c r="E46">
        <v>5762979.375</v>
      </c>
      <c r="F46">
        <v>503857</v>
      </c>
      <c r="G46">
        <v>40</v>
      </c>
      <c r="H46" t="s">
        <v>15</v>
      </c>
    </row>
    <row r="47" spans="1:8">
      <c r="A47">
        <v>1012</v>
      </c>
      <c r="B47" t="s">
        <v>13</v>
      </c>
      <c r="C47" t="s">
        <v>14</v>
      </c>
      <c r="D47">
        <v>45227</v>
      </c>
      <c r="E47">
        <v>2143741</v>
      </c>
      <c r="F47">
        <v>1528912</v>
      </c>
      <c r="G47">
        <v>285</v>
      </c>
      <c r="H47" t="s">
        <v>15</v>
      </c>
    </row>
    <row r="48" spans="1:8">
      <c r="A48">
        <v>1056</v>
      </c>
      <c r="B48" t="s">
        <v>8</v>
      </c>
      <c r="C48" t="s">
        <v>12</v>
      </c>
      <c r="D48">
        <v>44927</v>
      </c>
      <c r="E48">
        <v>3392269</v>
      </c>
      <c r="F48">
        <v>2491954</v>
      </c>
      <c r="G48">
        <v>197</v>
      </c>
      <c r="H48" t="s">
        <v>18</v>
      </c>
    </row>
    <row r="49" spans="1:8">
      <c r="A49">
        <v>1096</v>
      </c>
      <c r="B49" t="s">
        <v>11</v>
      </c>
      <c r="C49" t="s">
        <v>19</v>
      </c>
      <c r="D49">
        <v>44987</v>
      </c>
      <c r="E49">
        <v>4548261</v>
      </c>
      <c r="F49">
        <v>2604791</v>
      </c>
      <c r="G49">
        <v>367</v>
      </c>
      <c r="H49" t="s">
        <v>15</v>
      </c>
    </row>
    <row r="50" spans="1:8">
      <c r="A50">
        <v>1037</v>
      </c>
      <c r="B50" t="s">
        <v>16</v>
      </c>
      <c r="C50" t="s">
        <v>9</v>
      </c>
      <c r="D50">
        <v>45077</v>
      </c>
      <c r="E50">
        <v>787535</v>
      </c>
      <c r="F50">
        <v>3992425</v>
      </c>
      <c r="G50">
        <v>177</v>
      </c>
      <c r="H50" t="s">
        <v>10</v>
      </c>
    </row>
    <row r="51" spans="1:8">
      <c r="A51">
        <v>1094</v>
      </c>
      <c r="B51" t="s">
        <v>21</v>
      </c>
      <c r="C51" t="s">
        <v>22</v>
      </c>
      <c r="D51">
        <v>45167</v>
      </c>
      <c r="E51">
        <v>3419441</v>
      </c>
      <c r="F51">
        <v>3605049</v>
      </c>
      <c r="G51">
        <v>110</v>
      </c>
      <c r="H51" t="s">
        <v>18</v>
      </c>
    </row>
    <row r="52" spans="1:8">
      <c r="A52">
        <v>1028</v>
      </c>
      <c r="B52" t="s">
        <v>11</v>
      </c>
      <c r="C52" t="s">
        <v>9</v>
      </c>
      <c r="D52">
        <v>45137</v>
      </c>
      <c r="E52">
        <v>3644041</v>
      </c>
      <c r="F52">
        <v>3646295</v>
      </c>
      <c r="G52">
        <v>284</v>
      </c>
      <c r="H52" t="s">
        <v>18</v>
      </c>
    </row>
    <row r="53" spans="1:8">
      <c r="A53">
        <v>1063</v>
      </c>
      <c r="B53" t="s">
        <v>13</v>
      </c>
      <c r="C53" t="s">
        <v>19</v>
      </c>
      <c r="D53">
        <v>45017</v>
      </c>
      <c r="E53">
        <v>674344</v>
      </c>
      <c r="F53">
        <v>3016380</v>
      </c>
      <c r="G53">
        <v>109</v>
      </c>
      <c r="H53" t="s">
        <v>18</v>
      </c>
    </row>
    <row r="54" spans="1:8">
      <c r="A54">
        <v>1042</v>
      </c>
      <c r="B54" t="s">
        <v>21</v>
      </c>
      <c r="C54" t="s">
        <v>17</v>
      </c>
      <c r="D54">
        <v>45107</v>
      </c>
      <c r="E54">
        <v>3459022</v>
      </c>
      <c r="F54">
        <v>1253354</v>
      </c>
      <c r="G54">
        <v>384</v>
      </c>
      <c r="H54" t="s">
        <v>10</v>
      </c>
    </row>
    <row r="55" spans="1:8">
      <c r="A55">
        <v>1013</v>
      </c>
      <c r="B55" t="s">
        <v>11</v>
      </c>
      <c r="C55" t="s">
        <v>12</v>
      </c>
      <c r="D55">
        <v>44927</v>
      </c>
      <c r="E55">
        <v>4374471</v>
      </c>
      <c r="F55">
        <v>3235056</v>
      </c>
      <c r="G55">
        <v>479</v>
      </c>
      <c r="H55" t="s">
        <v>20</v>
      </c>
    </row>
    <row r="56" spans="1:8">
      <c r="A56">
        <v>1082</v>
      </c>
      <c r="B56" t="s">
        <v>11</v>
      </c>
      <c r="C56" t="s">
        <v>14</v>
      </c>
      <c r="D56">
        <v>45047</v>
      </c>
      <c r="E56">
        <v>1958707</v>
      </c>
      <c r="F56">
        <v>1204833</v>
      </c>
      <c r="G56">
        <v>99</v>
      </c>
      <c r="H56" t="s">
        <v>20</v>
      </c>
    </row>
    <row r="57" spans="1:8">
      <c r="A57">
        <v>1028</v>
      </c>
      <c r="B57" t="s">
        <v>8</v>
      </c>
      <c r="C57" t="s">
        <v>14</v>
      </c>
      <c r="D57">
        <v>44927</v>
      </c>
      <c r="E57">
        <v>233000</v>
      </c>
      <c r="F57">
        <v>2472242</v>
      </c>
      <c r="G57">
        <v>261</v>
      </c>
      <c r="H57" t="s">
        <v>10</v>
      </c>
    </row>
    <row r="58" spans="1:8">
      <c r="A58">
        <v>1066</v>
      </c>
      <c r="B58" t="s">
        <v>8</v>
      </c>
      <c r="C58" t="s">
        <v>9</v>
      </c>
      <c r="D58">
        <v>44927</v>
      </c>
      <c r="E58">
        <v>4095260</v>
      </c>
      <c r="F58">
        <v>2817566</v>
      </c>
      <c r="G58">
        <v>377</v>
      </c>
      <c r="H58" t="s">
        <v>15</v>
      </c>
    </row>
    <row r="59" spans="1:8">
      <c r="A59">
        <v>1072</v>
      </c>
      <c r="B59" t="s">
        <v>8</v>
      </c>
      <c r="C59" t="s">
        <v>17</v>
      </c>
      <c r="D59">
        <v>45047</v>
      </c>
      <c r="E59">
        <v>347863</v>
      </c>
      <c r="F59">
        <v>1445218</v>
      </c>
      <c r="G59">
        <v>466</v>
      </c>
      <c r="H59" t="s">
        <v>18</v>
      </c>
    </row>
    <row r="60" spans="1:8">
      <c r="A60">
        <v>1001</v>
      </c>
      <c r="B60" t="s">
        <v>21</v>
      </c>
      <c r="C60" t="s">
        <v>14</v>
      </c>
      <c r="D60">
        <v>45197</v>
      </c>
      <c r="E60">
        <v>4887901</v>
      </c>
      <c r="F60">
        <v>3298398</v>
      </c>
      <c r="G60">
        <v>50</v>
      </c>
      <c r="H60" t="s">
        <v>18</v>
      </c>
    </row>
    <row r="61" spans="1:8">
      <c r="A61">
        <v>1014</v>
      </c>
      <c r="B61" t="s">
        <v>21</v>
      </c>
      <c r="C61" t="s">
        <v>12</v>
      </c>
      <c r="D61">
        <v>45257</v>
      </c>
      <c r="E61">
        <v>4100616</v>
      </c>
      <c r="F61">
        <v>2128968</v>
      </c>
      <c r="G61">
        <v>450</v>
      </c>
      <c r="H61" t="s">
        <v>20</v>
      </c>
    </row>
    <row r="62" spans="1:8">
      <c r="A62">
        <v>1083</v>
      </c>
      <c r="B62" t="s">
        <v>11</v>
      </c>
      <c r="C62" t="s">
        <v>9</v>
      </c>
      <c r="D62">
        <v>45017</v>
      </c>
      <c r="E62">
        <v>2357536</v>
      </c>
      <c r="F62">
        <v>974320</v>
      </c>
      <c r="G62">
        <v>276</v>
      </c>
      <c r="H62" t="s">
        <v>20</v>
      </c>
    </row>
    <row r="63" spans="1:8">
      <c r="A63">
        <v>1046</v>
      </c>
      <c r="B63" t="s">
        <v>8</v>
      </c>
      <c r="C63" t="s">
        <v>19</v>
      </c>
      <c r="D63">
        <v>45107</v>
      </c>
      <c r="E63">
        <v>2035596</v>
      </c>
      <c r="F63">
        <v>823269</v>
      </c>
      <c r="G63">
        <v>94</v>
      </c>
      <c r="H63" t="s">
        <v>18</v>
      </c>
    </row>
    <row r="64" spans="1:8">
      <c r="A64">
        <v>1005</v>
      </c>
      <c r="B64" t="s">
        <v>11</v>
      </c>
      <c r="C64" t="s">
        <v>17</v>
      </c>
      <c r="D64">
        <v>45167</v>
      </c>
      <c r="E64">
        <v>3932985</v>
      </c>
      <c r="F64">
        <v>2319930</v>
      </c>
      <c r="G64">
        <v>304</v>
      </c>
      <c r="H64" t="s">
        <v>10</v>
      </c>
    </row>
    <row r="65" spans="1:8">
      <c r="A65">
        <v>1093</v>
      </c>
      <c r="B65" t="s">
        <v>21</v>
      </c>
      <c r="C65" t="s">
        <v>19</v>
      </c>
      <c r="D65">
        <v>45227</v>
      </c>
      <c r="E65">
        <v>4698887</v>
      </c>
      <c r="F65">
        <v>3472871</v>
      </c>
      <c r="G65">
        <v>216</v>
      </c>
      <c r="H65" t="s">
        <v>10</v>
      </c>
    </row>
    <row r="66" spans="1:8">
      <c r="A66">
        <v>1011</v>
      </c>
      <c r="B66" t="s">
        <v>8</v>
      </c>
      <c r="C66" t="s">
        <v>17</v>
      </c>
      <c r="D66">
        <v>45257</v>
      </c>
      <c r="E66">
        <v>3898583</v>
      </c>
      <c r="F66">
        <v>1713496</v>
      </c>
      <c r="G66">
        <v>279</v>
      </c>
      <c r="H66" t="s">
        <v>10</v>
      </c>
    </row>
    <row r="67" spans="1:8">
      <c r="A67">
        <v>1033</v>
      </c>
      <c r="B67" t="s">
        <v>16</v>
      </c>
      <c r="C67" t="s">
        <v>9</v>
      </c>
      <c r="D67">
        <v>45137</v>
      </c>
      <c r="E67">
        <v>-1570630</v>
      </c>
      <c r="F67">
        <v>3821201</v>
      </c>
      <c r="G67">
        <v>26</v>
      </c>
      <c r="H67" t="s">
        <v>15</v>
      </c>
    </row>
    <row r="68" spans="1:8">
      <c r="A68">
        <v>1098</v>
      </c>
      <c r="B68" t="s">
        <v>21</v>
      </c>
      <c r="C68" t="s">
        <v>17</v>
      </c>
      <c r="D68">
        <v>45107</v>
      </c>
      <c r="E68">
        <v>4822164</v>
      </c>
      <c r="F68">
        <v>1471696</v>
      </c>
      <c r="G68">
        <v>80</v>
      </c>
      <c r="H68" t="s">
        <v>10</v>
      </c>
    </row>
    <row r="69" spans="1:8">
      <c r="A69">
        <v>1053</v>
      </c>
      <c r="B69" t="s">
        <v>13</v>
      </c>
      <c r="C69" t="s">
        <v>19</v>
      </c>
      <c r="D69">
        <v>45257</v>
      </c>
      <c r="E69">
        <v>2398187</v>
      </c>
      <c r="F69">
        <v>1934039</v>
      </c>
      <c r="G69">
        <v>71</v>
      </c>
      <c r="H69" t="s">
        <v>18</v>
      </c>
    </row>
    <row r="70" spans="1:8">
      <c r="A70">
        <v>1046</v>
      </c>
      <c r="B70" t="s">
        <v>8</v>
      </c>
      <c r="C70" t="s">
        <v>19</v>
      </c>
      <c r="D70">
        <v>45257</v>
      </c>
      <c r="E70">
        <v>895001</v>
      </c>
      <c r="F70">
        <v>1991948</v>
      </c>
      <c r="G70">
        <v>181</v>
      </c>
      <c r="H70" t="s">
        <v>15</v>
      </c>
    </row>
    <row r="71" spans="1:8">
      <c r="A71">
        <v>1077</v>
      </c>
      <c r="B71" t="s">
        <v>11</v>
      </c>
      <c r="C71" t="s">
        <v>17</v>
      </c>
      <c r="D71">
        <v>45077</v>
      </c>
      <c r="E71">
        <v>1883842</v>
      </c>
      <c r="F71">
        <v>2721601</v>
      </c>
      <c r="G71">
        <v>305</v>
      </c>
      <c r="H71" t="s">
        <v>10</v>
      </c>
    </row>
    <row r="72" spans="1:8">
      <c r="A72">
        <v>1025</v>
      </c>
      <c r="B72" t="s">
        <v>8</v>
      </c>
      <c r="C72" t="s">
        <v>12</v>
      </c>
      <c r="D72">
        <v>45047</v>
      </c>
      <c r="E72">
        <v>2299853</v>
      </c>
      <c r="F72">
        <v>1787084</v>
      </c>
      <c r="G72">
        <v>314</v>
      </c>
      <c r="H72" t="s">
        <v>15</v>
      </c>
    </row>
    <row r="73" spans="1:8">
      <c r="A73">
        <v>1045</v>
      </c>
      <c r="B73" t="s">
        <v>8</v>
      </c>
      <c r="C73" t="s">
        <v>14</v>
      </c>
      <c r="D73">
        <v>44957</v>
      </c>
      <c r="E73">
        <v>2666739</v>
      </c>
      <c r="F73">
        <v>2715884</v>
      </c>
      <c r="G73">
        <v>440</v>
      </c>
      <c r="H73" t="s">
        <v>10</v>
      </c>
    </row>
    <row r="74" spans="1:8">
      <c r="A74">
        <v>1006</v>
      </c>
      <c r="B74" t="s">
        <v>21</v>
      </c>
      <c r="C74" t="s">
        <v>12</v>
      </c>
      <c r="D74">
        <v>45077</v>
      </c>
      <c r="E74">
        <v>4296082</v>
      </c>
      <c r="F74">
        <v>3985302</v>
      </c>
      <c r="G74">
        <v>293</v>
      </c>
      <c r="H74" t="s">
        <v>18</v>
      </c>
    </row>
    <row r="75" spans="1:8">
      <c r="A75">
        <v>1059</v>
      </c>
      <c r="B75" t="s">
        <v>11</v>
      </c>
      <c r="C75" t="s">
        <v>17</v>
      </c>
      <c r="D75">
        <v>44987</v>
      </c>
      <c r="E75">
        <v>1775481</v>
      </c>
      <c r="F75">
        <v>2363114</v>
      </c>
      <c r="G75">
        <v>349</v>
      </c>
      <c r="H75" t="s">
        <v>20</v>
      </c>
    </row>
    <row r="76" spans="1:8">
      <c r="A76">
        <v>1058</v>
      </c>
      <c r="B76" t="s">
        <v>11</v>
      </c>
      <c r="C76" t="s">
        <v>22</v>
      </c>
      <c r="D76">
        <v>45017</v>
      </c>
      <c r="E76">
        <v>3332234</v>
      </c>
      <c r="F76">
        <v>62805</v>
      </c>
      <c r="G76">
        <v>160</v>
      </c>
      <c r="H76" t="s">
        <v>10</v>
      </c>
    </row>
    <row r="77" spans="1:8">
      <c r="A77">
        <v>1084</v>
      </c>
      <c r="B77" t="s">
        <v>16</v>
      </c>
      <c r="C77" t="s">
        <v>17</v>
      </c>
      <c r="D77">
        <v>45077</v>
      </c>
      <c r="E77">
        <v>1502602</v>
      </c>
      <c r="F77">
        <v>3992164</v>
      </c>
      <c r="G77">
        <v>237</v>
      </c>
      <c r="H77" t="s">
        <v>20</v>
      </c>
    </row>
    <row r="78" spans="1:8">
      <c r="A78">
        <v>1063</v>
      </c>
      <c r="B78" t="s">
        <v>21</v>
      </c>
      <c r="C78" t="s">
        <v>19</v>
      </c>
      <c r="D78">
        <v>45077</v>
      </c>
      <c r="E78">
        <v>1520053</v>
      </c>
      <c r="F78">
        <v>303789</v>
      </c>
      <c r="G78">
        <v>352</v>
      </c>
      <c r="H78" t="s">
        <v>18</v>
      </c>
    </row>
    <row r="79" spans="1:8">
      <c r="A79">
        <v>1078</v>
      </c>
      <c r="B79" t="s">
        <v>11</v>
      </c>
      <c r="C79" t="s">
        <v>19</v>
      </c>
      <c r="D79">
        <v>45227</v>
      </c>
      <c r="E79">
        <v>513372</v>
      </c>
      <c r="F79">
        <v>663143</v>
      </c>
      <c r="G79">
        <v>130</v>
      </c>
      <c r="H79" t="s">
        <v>10</v>
      </c>
    </row>
    <row r="80" spans="1:8">
      <c r="A80">
        <v>1023</v>
      </c>
      <c r="B80" t="s">
        <v>16</v>
      </c>
      <c r="C80" t="s">
        <v>9</v>
      </c>
      <c r="D80">
        <v>45227</v>
      </c>
      <c r="E80">
        <v>1842578</v>
      </c>
      <c r="F80">
        <v>1904744</v>
      </c>
      <c r="G80">
        <v>94</v>
      </c>
      <c r="H80" t="s">
        <v>10</v>
      </c>
    </row>
    <row r="81" spans="1:8">
      <c r="A81">
        <v>1039</v>
      </c>
      <c r="B81" t="s">
        <v>16</v>
      </c>
      <c r="C81" t="s">
        <v>19</v>
      </c>
      <c r="D81">
        <v>45137</v>
      </c>
      <c r="E81">
        <v>4906869</v>
      </c>
      <c r="F81">
        <v>2451694.5</v>
      </c>
      <c r="G81">
        <v>390</v>
      </c>
      <c r="H81" t="s">
        <v>20</v>
      </c>
    </row>
    <row r="82" spans="1:8">
      <c r="A82">
        <v>1042</v>
      </c>
      <c r="B82" t="s">
        <v>21</v>
      </c>
      <c r="C82" t="s">
        <v>12</v>
      </c>
      <c r="D82">
        <v>45257</v>
      </c>
      <c r="E82">
        <v>454298</v>
      </c>
      <c r="F82">
        <v>1084800</v>
      </c>
      <c r="G82">
        <v>77</v>
      </c>
      <c r="H82" t="s">
        <v>18</v>
      </c>
    </row>
    <row r="83" spans="1:8">
      <c r="A83">
        <v>1070</v>
      </c>
      <c r="B83" t="s">
        <v>13</v>
      </c>
      <c r="C83" t="s">
        <v>19</v>
      </c>
      <c r="D83">
        <v>45107</v>
      </c>
      <c r="E83">
        <v>2858530</v>
      </c>
      <c r="F83">
        <v>2156352</v>
      </c>
      <c r="G83">
        <v>210</v>
      </c>
      <c r="H83" t="s">
        <v>15</v>
      </c>
    </row>
    <row r="84" spans="1:8">
      <c r="A84">
        <v>1002</v>
      </c>
      <c r="B84" t="s">
        <v>21</v>
      </c>
      <c r="C84" t="s">
        <v>9</v>
      </c>
      <c r="D84">
        <v>45107</v>
      </c>
      <c r="E84">
        <v>3386900</v>
      </c>
      <c r="F84">
        <v>3705345</v>
      </c>
      <c r="G84">
        <v>50</v>
      </c>
      <c r="H84" t="s">
        <v>15</v>
      </c>
    </row>
    <row r="85" spans="1:8">
      <c r="A85">
        <v>1052</v>
      </c>
      <c r="B85" t="s">
        <v>11</v>
      </c>
      <c r="C85" t="s">
        <v>17</v>
      </c>
      <c r="D85">
        <v>45227</v>
      </c>
      <c r="E85">
        <v>3412816</v>
      </c>
      <c r="F85">
        <v>1601239</v>
      </c>
      <c r="G85">
        <v>485</v>
      </c>
      <c r="H85" t="s">
        <v>10</v>
      </c>
    </row>
    <row r="86" spans="1:8">
      <c r="A86">
        <v>1018</v>
      </c>
      <c r="B86" t="s">
        <v>11</v>
      </c>
      <c r="C86" t="s">
        <v>19</v>
      </c>
      <c r="D86">
        <v>44927</v>
      </c>
      <c r="E86">
        <v>1022620</v>
      </c>
      <c r="F86">
        <v>874151</v>
      </c>
      <c r="G86">
        <v>143</v>
      </c>
      <c r="H86" t="s">
        <v>15</v>
      </c>
    </row>
    <row r="87" spans="1:8">
      <c r="A87">
        <v>1076</v>
      </c>
      <c r="B87" t="s">
        <v>16</v>
      </c>
      <c r="C87" t="s">
        <v>14</v>
      </c>
      <c r="D87">
        <v>45227</v>
      </c>
      <c r="E87">
        <v>1399162</v>
      </c>
      <c r="F87">
        <v>2455432</v>
      </c>
      <c r="G87">
        <v>72</v>
      </c>
      <c r="H87" t="s">
        <v>18</v>
      </c>
    </row>
    <row r="88" spans="1:8">
      <c r="A88">
        <v>1041</v>
      </c>
      <c r="B88" t="s">
        <v>21</v>
      </c>
      <c r="C88" t="s">
        <v>19</v>
      </c>
      <c r="D88">
        <v>45197</v>
      </c>
      <c r="E88">
        <v>795849</v>
      </c>
      <c r="F88">
        <v>3924373</v>
      </c>
      <c r="G88">
        <v>284</v>
      </c>
      <c r="H88" t="s">
        <v>15</v>
      </c>
    </row>
    <row r="89" spans="1:8">
      <c r="A89">
        <v>1027</v>
      </c>
      <c r="B89" t="s">
        <v>21</v>
      </c>
      <c r="C89" t="s">
        <v>19</v>
      </c>
      <c r="D89">
        <v>45107</v>
      </c>
      <c r="E89">
        <v>4283193</v>
      </c>
      <c r="F89">
        <v>2310939</v>
      </c>
      <c r="G89">
        <v>79</v>
      </c>
      <c r="H89" t="s">
        <v>18</v>
      </c>
    </row>
    <row r="90" spans="1:8">
      <c r="A90">
        <v>1078</v>
      </c>
      <c r="B90" t="s">
        <v>16</v>
      </c>
      <c r="C90" t="s">
        <v>12</v>
      </c>
      <c r="D90">
        <v>45137</v>
      </c>
      <c r="E90">
        <v>1459865</v>
      </c>
      <c r="F90">
        <v>3906742</v>
      </c>
      <c r="G90">
        <v>58</v>
      </c>
      <c r="H90" t="s">
        <v>20</v>
      </c>
    </row>
    <row r="91" spans="1:8">
      <c r="A91">
        <v>1055</v>
      </c>
      <c r="B91" t="s">
        <v>8</v>
      </c>
      <c r="C91" t="s">
        <v>9</v>
      </c>
      <c r="D91">
        <v>45167</v>
      </c>
      <c r="E91">
        <v>5762979.375</v>
      </c>
      <c r="F91">
        <v>2508361</v>
      </c>
      <c r="G91">
        <v>433</v>
      </c>
      <c r="H91" t="s">
        <v>10</v>
      </c>
    </row>
    <row r="92" spans="1:8">
      <c r="A92">
        <v>1067</v>
      </c>
      <c r="B92" t="s">
        <v>8</v>
      </c>
      <c r="C92" t="s">
        <v>19</v>
      </c>
      <c r="D92">
        <v>45197</v>
      </c>
      <c r="E92">
        <v>1816537</v>
      </c>
      <c r="F92">
        <v>182064</v>
      </c>
      <c r="G92">
        <v>109</v>
      </c>
      <c r="H92" t="s">
        <v>10</v>
      </c>
    </row>
    <row r="93" spans="1:8">
      <c r="A93">
        <v>1079</v>
      </c>
      <c r="B93" t="s">
        <v>13</v>
      </c>
      <c r="C93" t="s">
        <v>9</v>
      </c>
      <c r="D93">
        <v>45257</v>
      </c>
      <c r="E93">
        <v>4596360</v>
      </c>
      <c r="F93">
        <v>900028</v>
      </c>
      <c r="G93">
        <v>149</v>
      </c>
      <c r="H93" t="s">
        <v>10</v>
      </c>
    </row>
    <row r="94" spans="1:8">
      <c r="A94">
        <v>1048</v>
      </c>
      <c r="B94" t="s">
        <v>21</v>
      </c>
      <c r="C94" t="s">
        <v>12</v>
      </c>
      <c r="D94">
        <v>45017</v>
      </c>
      <c r="E94">
        <v>1570699</v>
      </c>
      <c r="F94">
        <v>2936326</v>
      </c>
      <c r="G94">
        <v>341</v>
      </c>
      <c r="H94" t="s">
        <v>15</v>
      </c>
    </row>
    <row r="95" spans="1:8">
      <c r="A95">
        <v>1011</v>
      </c>
      <c r="B95" t="s">
        <v>13</v>
      </c>
      <c r="C95" t="s">
        <v>12</v>
      </c>
      <c r="D95">
        <v>44957</v>
      </c>
      <c r="E95">
        <v>2849514</v>
      </c>
      <c r="F95">
        <v>2123352</v>
      </c>
      <c r="G95">
        <v>18</v>
      </c>
      <c r="H95" t="s">
        <v>10</v>
      </c>
    </row>
    <row r="96" spans="1:8">
      <c r="A96">
        <v>1005</v>
      </c>
      <c r="B96" t="s">
        <v>13</v>
      </c>
      <c r="C96" t="s">
        <v>17</v>
      </c>
      <c r="D96">
        <v>45017</v>
      </c>
      <c r="E96">
        <v>2920382</v>
      </c>
      <c r="F96">
        <v>983928</v>
      </c>
      <c r="G96">
        <v>64</v>
      </c>
      <c r="H96" t="s">
        <v>10</v>
      </c>
    </row>
    <row r="97" spans="1:8">
      <c r="A97">
        <v>1028</v>
      </c>
      <c r="B97" t="s">
        <v>8</v>
      </c>
      <c r="C97" t="s">
        <v>12</v>
      </c>
      <c r="D97">
        <v>45227</v>
      </c>
      <c r="E97">
        <v>2531702</v>
      </c>
      <c r="F97">
        <v>2655438</v>
      </c>
      <c r="G97">
        <v>368</v>
      </c>
      <c r="H97" t="s">
        <v>10</v>
      </c>
    </row>
    <row r="98" spans="1:8">
      <c r="A98">
        <v>1027</v>
      </c>
      <c r="B98" t="s">
        <v>21</v>
      </c>
      <c r="C98" t="s">
        <v>12</v>
      </c>
      <c r="D98">
        <v>44957</v>
      </c>
      <c r="E98">
        <v>1610323</v>
      </c>
      <c r="F98">
        <v>1801534</v>
      </c>
      <c r="G98">
        <v>111</v>
      </c>
      <c r="H98" t="s">
        <v>10</v>
      </c>
    </row>
    <row r="99" spans="1:8">
      <c r="A99">
        <v>1014</v>
      </c>
      <c r="B99" t="s">
        <v>13</v>
      </c>
      <c r="C99" t="s">
        <v>17</v>
      </c>
      <c r="D99">
        <v>45257</v>
      </c>
      <c r="E99">
        <v>3638043</v>
      </c>
      <c r="F99">
        <v>1260124</v>
      </c>
      <c r="G99">
        <v>14</v>
      </c>
      <c r="H99" t="s">
        <v>10</v>
      </c>
    </row>
    <row r="100" spans="1:8">
      <c r="A100">
        <v>1047</v>
      </c>
      <c r="B100" t="s">
        <v>8</v>
      </c>
      <c r="C100" t="s">
        <v>17</v>
      </c>
      <c r="D100">
        <v>45077</v>
      </c>
      <c r="E100">
        <v>-763241</v>
      </c>
      <c r="F100">
        <v>1662160</v>
      </c>
      <c r="G100">
        <v>114</v>
      </c>
      <c r="H100" t="s">
        <v>18</v>
      </c>
    </row>
    <row r="101" spans="1:8">
      <c r="A101">
        <v>1047</v>
      </c>
      <c r="B101" t="s">
        <v>11</v>
      </c>
      <c r="C101" t="s">
        <v>22</v>
      </c>
      <c r="D101">
        <v>45227</v>
      </c>
      <c r="E101">
        <v>273897</v>
      </c>
      <c r="F101">
        <v>1134328</v>
      </c>
      <c r="G101">
        <v>225</v>
      </c>
      <c r="H101" t="s">
        <v>10</v>
      </c>
    </row>
    <row r="102" spans="1:8">
      <c r="A102">
        <v>1027</v>
      </c>
      <c r="B102" t="s">
        <v>16</v>
      </c>
      <c r="C102" t="s">
        <v>12</v>
      </c>
      <c r="D102">
        <v>45167</v>
      </c>
      <c r="E102">
        <v>1104424</v>
      </c>
      <c r="F102">
        <v>2447957</v>
      </c>
      <c r="G102">
        <v>418</v>
      </c>
      <c r="H102" t="s">
        <v>10</v>
      </c>
    </row>
    <row r="103" spans="1:8">
      <c r="A103">
        <v>1097</v>
      </c>
      <c r="B103" t="s">
        <v>11</v>
      </c>
      <c r="C103" t="s">
        <v>19</v>
      </c>
      <c r="D103">
        <v>44927</v>
      </c>
      <c r="E103">
        <v>264214</v>
      </c>
      <c r="F103">
        <v>322824</v>
      </c>
      <c r="G103">
        <v>310</v>
      </c>
      <c r="H103" t="s">
        <v>20</v>
      </c>
    </row>
    <row r="104" spans="1:8">
      <c r="A104">
        <v>1095</v>
      </c>
      <c r="B104" t="s">
        <v>21</v>
      </c>
      <c r="C104" t="s">
        <v>17</v>
      </c>
      <c r="D104">
        <v>44987</v>
      </c>
      <c r="E104">
        <v>2338033</v>
      </c>
      <c r="F104">
        <v>3550265</v>
      </c>
      <c r="G104">
        <v>167</v>
      </c>
      <c r="H104" t="s">
        <v>10</v>
      </c>
    </row>
    <row r="105" spans="1:8">
      <c r="A105">
        <v>1033</v>
      </c>
      <c r="B105" t="s">
        <v>13</v>
      </c>
      <c r="C105" t="s">
        <v>17</v>
      </c>
      <c r="D105">
        <v>45107</v>
      </c>
      <c r="E105">
        <v>3398080</v>
      </c>
      <c r="F105">
        <v>1256332</v>
      </c>
      <c r="G105">
        <v>252</v>
      </c>
      <c r="H105" t="s">
        <v>15</v>
      </c>
    </row>
    <row r="106" spans="1:8">
      <c r="A106">
        <v>1056</v>
      </c>
      <c r="B106" t="s">
        <v>16</v>
      </c>
      <c r="C106" t="s">
        <v>17</v>
      </c>
      <c r="D106">
        <v>45257</v>
      </c>
      <c r="E106">
        <v>1717190</v>
      </c>
      <c r="F106">
        <v>84003</v>
      </c>
      <c r="G106">
        <v>426</v>
      </c>
      <c r="H106" t="s">
        <v>18</v>
      </c>
    </row>
    <row r="107" spans="1:8">
      <c r="A107">
        <v>1079</v>
      </c>
      <c r="B107" t="s">
        <v>13</v>
      </c>
      <c r="C107" t="s">
        <v>9</v>
      </c>
      <c r="D107">
        <v>44987</v>
      </c>
      <c r="E107">
        <v>4053038</v>
      </c>
      <c r="F107">
        <v>751782</v>
      </c>
      <c r="G107">
        <v>480</v>
      </c>
      <c r="H107" t="s">
        <v>18</v>
      </c>
    </row>
    <row r="108" spans="1:8">
      <c r="A108">
        <v>1050</v>
      </c>
      <c r="B108" t="s">
        <v>11</v>
      </c>
      <c r="C108" t="s">
        <v>9</v>
      </c>
      <c r="D108">
        <v>45197</v>
      </c>
      <c r="E108">
        <v>4457271</v>
      </c>
      <c r="F108">
        <v>3712395</v>
      </c>
      <c r="G108">
        <v>113</v>
      </c>
      <c r="H108" t="s">
        <v>18</v>
      </c>
    </row>
    <row r="109" spans="1:8">
      <c r="A109">
        <v>1064</v>
      </c>
      <c r="B109" t="s">
        <v>8</v>
      </c>
      <c r="C109" t="s">
        <v>9</v>
      </c>
      <c r="D109">
        <v>45107</v>
      </c>
      <c r="E109">
        <v>1337306</v>
      </c>
      <c r="F109">
        <v>3560643</v>
      </c>
      <c r="G109">
        <v>183</v>
      </c>
      <c r="H109" t="s">
        <v>15</v>
      </c>
    </row>
    <row r="110" spans="1:8">
      <c r="A110">
        <v>1084</v>
      </c>
      <c r="B110" t="s">
        <v>11</v>
      </c>
      <c r="C110" t="s">
        <v>14</v>
      </c>
      <c r="D110">
        <v>44927</v>
      </c>
      <c r="E110">
        <v>887130</v>
      </c>
      <c r="F110">
        <v>392311</v>
      </c>
      <c r="G110">
        <v>201</v>
      </c>
      <c r="H110" t="s">
        <v>18</v>
      </c>
    </row>
    <row r="111" spans="1:8">
      <c r="A111">
        <v>1058</v>
      </c>
      <c r="B111" t="s">
        <v>13</v>
      </c>
      <c r="C111" t="s">
        <v>19</v>
      </c>
      <c r="D111">
        <v>44957</v>
      </c>
      <c r="E111">
        <v>2496419</v>
      </c>
      <c r="F111">
        <v>1298326</v>
      </c>
      <c r="G111">
        <v>422</v>
      </c>
      <c r="H111" t="s">
        <v>18</v>
      </c>
    </row>
    <row r="112" spans="1:8">
      <c r="A112">
        <v>1076</v>
      </c>
      <c r="B112" t="s">
        <v>8</v>
      </c>
      <c r="C112" t="s">
        <v>9</v>
      </c>
      <c r="D112">
        <v>45227</v>
      </c>
      <c r="E112">
        <v>2466706</v>
      </c>
      <c r="F112">
        <v>3665566</v>
      </c>
      <c r="G112">
        <v>347</v>
      </c>
      <c r="H112" t="s">
        <v>15</v>
      </c>
    </row>
    <row r="113" spans="1:8">
      <c r="A113">
        <v>1091</v>
      </c>
      <c r="B113" t="s">
        <v>21</v>
      </c>
      <c r="C113" t="s">
        <v>17</v>
      </c>
      <c r="D113">
        <v>44987</v>
      </c>
      <c r="E113">
        <v>2254567</v>
      </c>
      <c r="F113">
        <v>3171777</v>
      </c>
      <c r="G113">
        <v>455</v>
      </c>
      <c r="H113" t="s">
        <v>10</v>
      </c>
    </row>
    <row r="114" spans="1:8">
      <c r="A114">
        <v>1037</v>
      </c>
      <c r="B114" t="s">
        <v>11</v>
      </c>
      <c r="C114" t="s">
        <v>9</v>
      </c>
      <c r="D114">
        <v>45137</v>
      </c>
      <c r="E114">
        <v>3601385</v>
      </c>
      <c r="F114">
        <v>2870675</v>
      </c>
      <c r="G114">
        <v>37</v>
      </c>
      <c r="H114" t="s">
        <v>10</v>
      </c>
    </row>
    <row r="115" spans="1:8">
      <c r="A115">
        <v>1099</v>
      </c>
      <c r="B115" t="s">
        <v>16</v>
      </c>
      <c r="C115" t="s">
        <v>17</v>
      </c>
      <c r="D115">
        <v>45077</v>
      </c>
      <c r="E115">
        <v>3889782</v>
      </c>
      <c r="F115">
        <v>3099177</v>
      </c>
      <c r="G115">
        <v>392</v>
      </c>
      <c r="H115" t="s">
        <v>10</v>
      </c>
    </row>
    <row r="116" spans="1:8">
      <c r="A116">
        <v>1062</v>
      </c>
      <c r="B116" t="s">
        <v>13</v>
      </c>
      <c r="C116" t="s">
        <v>9</v>
      </c>
      <c r="D116">
        <v>45077</v>
      </c>
      <c r="E116">
        <v>1015918</v>
      </c>
      <c r="F116">
        <v>2212125</v>
      </c>
      <c r="G116">
        <v>280</v>
      </c>
      <c r="H116" t="s">
        <v>10</v>
      </c>
    </row>
    <row r="117" spans="1:8">
      <c r="A117">
        <v>1004</v>
      </c>
      <c r="B117" t="s">
        <v>16</v>
      </c>
      <c r="C117" t="s">
        <v>19</v>
      </c>
      <c r="D117">
        <v>45167</v>
      </c>
      <c r="E117">
        <v>4570684</v>
      </c>
      <c r="F117">
        <v>3995906</v>
      </c>
      <c r="G117">
        <v>64</v>
      </c>
      <c r="H117" t="s">
        <v>10</v>
      </c>
    </row>
    <row r="118" spans="1:8">
      <c r="A118">
        <v>1034</v>
      </c>
      <c r="B118" t="s">
        <v>11</v>
      </c>
      <c r="C118" t="s">
        <v>14</v>
      </c>
      <c r="D118">
        <v>45077</v>
      </c>
      <c r="E118">
        <v>1437700</v>
      </c>
      <c r="F118">
        <v>623617</v>
      </c>
      <c r="G118">
        <v>373</v>
      </c>
      <c r="H118" t="s">
        <v>10</v>
      </c>
    </row>
    <row r="119" spans="1:8">
      <c r="A119">
        <v>1018</v>
      </c>
      <c r="B119" t="s">
        <v>13</v>
      </c>
      <c r="C119" t="s">
        <v>9</v>
      </c>
      <c r="D119">
        <v>45257</v>
      </c>
      <c r="E119">
        <v>2275245</v>
      </c>
      <c r="F119">
        <v>3921598</v>
      </c>
      <c r="G119">
        <v>283</v>
      </c>
      <c r="H119" t="s">
        <v>18</v>
      </c>
    </row>
    <row r="120" spans="1:8">
      <c r="A120">
        <v>1100</v>
      </c>
      <c r="B120" t="s">
        <v>13</v>
      </c>
      <c r="C120" t="s">
        <v>12</v>
      </c>
      <c r="D120">
        <v>45197</v>
      </c>
      <c r="E120">
        <v>1456341</v>
      </c>
      <c r="F120">
        <v>709646</v>
      </c>
      <c r="G120">
        <v>451</v>
      </c>
      <c r="H120" t="s">
        <v>10</v>
      </c>
    </row>
    <row r="121" spans="1:8">
      <c r="A121">
        <v>1086</v>
      </c>
      <c r="B121" t="s">
        <v>8</v>
      </c>
      <c r="C121" t="s">
        <v>14</v>
      </c>
      <c r="D121">
        <v>45197</v>
      </c>
      <c r="E121">
        <v>1560321</v>
      </c>
      <c r="F121">
        <v>1929177</v>
      </c>
      <c r="G121">
        <v>455</v>
      </c>
      <c r="H121" t="s">
        <v>15</v>
      </c>
    </row>
    <row r="122" spans="1:8">
      <c r="A122">
        <v>1051</v>
      </c>
      <c r="B122" t="s">
        <v>16</v>
      </c>
      <c r="C122" t="s">
        <v>9</v>
      </c>
      <c r="D122">
        <v>44927</v>
      </c>
      <c r="E122">
        <v>3254326</v>
      </c>
      <c r="F122">
        <v>2885628</v>
      </c>
      <c r="G122">
        <v>70</v>
      </c>
      <c r="H122" t="s">
        <v>18</v>
      </c>
    </row>
    <row r="123" spans="1:8">
      <c r="A123">
        <v>1077</v>
      </c>
      <c r="B123" t="s">
        <v>11</v>
      </c>
      <c r="C123" t="s">
        <v>19</v>
      </c>
      <c r="D123">
        <v>44957</v>
      </c>
      <c r="E123">
        <v>3089797</v>
      </c>
      <c r="F123">
        <v>2683149</v>
      </c>
      <c r="G123">
        <v>200</v>
      </c>
      <c r="H123" t="s">
        <v>15</v>
      </c>
    </row>
    <row r="124" spans="1:8">
      <c r="A124">
        <v>1035</v>
      </c>
      <c r="B124" t="s">
        <v>16</v>
      </c>
      <c r="C124" t="s">
        <v>19</v>
      </c>
      <c r="D124">
        <v>45077</v>
      </c>
      <c r="E124">
        <v>4936172</v>
      </c>
      <c r="F124">
        <v>3065599</v>
      </c>
      <c r="G124">
        <v>426</v>
      </c>
      <c r="H124" t="s">
        <v>20</v>
      </c>
    </row>
    <row r="125" spans="1:8">
      <c r="A125">
        <v>1080</v>
      </c>
      <c r="B125" t="s">
        <v>16</v>
      </c>
      <c r="C125" t="s">
        <v>14</v>
      </c>
      <c r="D125">
        <v>45077</v>
      </c>
      <c r="E125">
        <v>4989593</v>
      </c>
      <c r="F125">
        <v>2200372</v>
      </c>
      <c r="G125">
        <v>118</v>
      </c>
      <c r="H125" t="s">
        <v>20</v>
      </c>
    </row>
    <row r="126" spans="1:8">
      <c r="A126">
        <v>1062</v>
      </c>
      <c r="B126" t="s">
        <v>11</v>
      </c>
      <c r="C126" t="s">
        <v>22</v>
      </c>
      <c r="D126">
        <v>45047</v>
      </c>
      <c r="E126">
        <v>2930206</v>
      </c>
      <c r="F126">
        <v>2679619</v>
      </c>
      <c r="G126">
        <v>460</v>
      </c>
      <c r="H126" t="s">
        <v>18</v>
      </c>
    </row>
    <row r="127" spans="1:8">
      <c r="A127">
        <v>1094</v>
      </c>
      <c r="B127" t="s">
        <v>8</v>
      </c>
      <c r="C127" t="s">
        <v>14</v>
      </c>
      <c r="D127">
        <v>45107</v>
      </c>
      <c r="E127">
        <v>4737011</v>
      </c>
      <c r="F127">
        <v>917828</v>
      </c>
      <c r="G127">
        <v>146</v>
      </c>
      <c r="H127" t="s">
        <v>10</v>
      </c>
    </row>
    <row r="128" spans="1:8">
      <c r="A128">
        <v>1031</v>
      </c>
      <c r="B128" t="s">
        <v>8</v>
      </c>
      <c r="C128" t="s">
        <v>9</v>
      </c>
      <c r="D128">
        <v>45017</v>
      </c>
      <c r="E128">
        <v>71480</v>
      </c>
      <c r="F128">
        <v>1066314</v>
      </c>
      <c r="G128">
        <v>109</v>
      </c>
      <c r="H128" t="s">
        <v>18</v>
      </c>
    </row>
    <row r="129" spans="1:8">
      <c r="A129">
        <v>1011</v>
      </c>
      <c r="B129" t="s">
        <v>11</v>
      </c>
      <c r="C129" t="s">
        <v>12</v>
      </c>
      <c r="D129">
        <v>45167</v>
      </c>
      <c r="E129">
        <v>2431615</v>
      </c>
      <c r="F129">
        <v>3579690</v>
      </c>
      <c r="G129">
        <v>52</v>
      </c>
      <c r="H129" t="s">
        <v>15</v>
      </c>
    </row>
    <row r="130" spans="1:8">
      <c r="A130">
        <v>1083</v>
      </c>
      <c r="B130" t="s">
        <v>8</v>
      </c>
      <c r="C130" t="s">
        <v>14</v>
      </c>
      <c r="D130">
        <v>45167</v>
      </c>
      <c r="E130">
        <v>2865495</v>
      </c>
      <c r="F130">
        <v>3951349</v>
      </c>
      <c r="G130">
        <v>63</v>
      </c>
      <c r="H130" t="s">
        <v>15</v>
      </c>
    </row>
    <row r="131" spans="1:8">
      <c r="A131">
        <v>1024</v>
      </c>
      <c r="B131" t="s">
        <v>21</v>
      </c>
      <c r="C131" t="s">
        <v>12</v>
      </c>
      <c r="D131">
        <v>45227</v>
      </c>
      <c r="E131">
        <v>1352096</v>
      </c>
      <c r="F131">
        <v>958994</v>
      </c>
      <c r="G131">
        <v>146</v>
      </c>
      <c r="H131" t="s">
        <v>10</v>
      </c>
    </row>
    <row r="132" spans="1:8">
      <c r="A132">
        <v>1076</v>
      </c>
      <c r="B132" t="s">
        <v>21</v>
      </c>
      <c r="C132" t="s">
        <v>14</v>
      </c>
      <c r="D132">
        <v>45197</v>
      </c>
      <c r="E132">
        <v>3852893</v>
      </c>
      <c r="F132">
        <v>208506</v>
      </c>
      <c r="G132">
        <v>345</v>
      </c>
      <c r="H132" t="s">
        <v>20</v>
      </c>
    </row>
    <row r="133" spans="1:8">
      <c r="A133">
        <v>1049</v>
      </c>
      <c r="B133" t="s">
        <v>21</v>
      </c>
      <c r="C133" t="s">
        <v>14</v>
      </c>
      <c r="D133">
        <v>45077</v>
      </c>
      <c r="E133">
        <v>-1939863.625</v>
      </c>
      <c r="F133">
        <v>2523921</v>
      </c>
      <c r="G133">
        <v>101</v>
      </c>
      <c r="H133" t="s">
        <v>10</v>
      </c>
    </row>
    <row r="134" spans="1:8">
      <c r="A134">
        <v>1096</v>
      </c>
      <c r="B134" t="s">
        <v>21</v>
      </c>
      <c r="C134" t="s">
        <v>19</v>
      </c>
      <c r="D134">
        <v>45137</v>
      </c>
      <c r="E134">
        <v>4728915</v>
      </c>
      <c r="F134">
        <v>2047108</v>
      </c>
      <c r="G134">
        <v>117</v>
      </c>
      <c r="H134" t="s">
        <v>20</v>
      </c>
    </row>
    <row r="135" spans="1:8">
      <c r="A135">
        <v>1030</v>
      </c>
      <c r="B135" t="s">
        <v>8</v>
      </c>
      <c r="C135" t="s">
        <v>19</v>
      </c>
      <c r="D135">
        <v>45227</v>
      </c>
      <c r="E135">
        <v>1254081</v>
      </c>
      <c r="F135">
        <v>2630791</v>
      </c>
      <c r="G135">
        <v>484</v>
      </c>
      <c r="H135" t="s">
        <v>15</v>
      </c>
    </row>
    <row r="136" spans="1:8">
      <c r="A136">
        <v>1047</v>
      </c>
      <c r="B136" t="s">
        <v>8</v>
      </c>
      <c r="C136" t="s">
        <v>17</v>
      </c>
      <c r="D136">
        <v>45167</v>
      </c>
      <c r="E136">
        <v>5762979.375</v>
      </c>
      <c r="F136">
        <v>1064629</v>
      </c>
      <c r="G136">
        <v>238</v>
      </c>
      <c r="H136" t="s">
        <v>20</v>
      </c>
    </row>
    <row r="137" spans="1:8">
      <c r="A137">
        <v>1033</v>
      </c>
      <c r="B137" t="s">
        <v>11</v>
      </c>
      <c r="C137" t="s">
        <v>12</v>
      </c>
      <c r="D137">
        <v>45257</v>
      </c>
      <c r="E137">
        <v>434890</v>
      </c>
      <c r="F137">
        <v>1225921</v>
      </c>
      <c r="G137">
        <v>256</v>
      </c>
      <c r="H137" t="s">
        <v>20</v>
      </c>
    </row>
    <row r="138" spans="1:8">
      <c r="A138">
        <v>1012</v>
      </c>
      <c r="B138" t="s">
        <v>11</v>
      </c>
      <c r="C138" t="s">
        <v>9</v>
      </c>
      <c r="D138">
        <v>44987</v>
      </c>
      <c r="E138">
        <v>2909171</v>
      </c>
      <c r="F138">
        <v>2053158</v>
      </c>
      <c r="G138">
        <v>425</v>
      </c>
      <c r="H138" t="s">
        <v>10</v>
      </c>
    </row>
    <row r="139" spans="1:8">
      <c r="A139">
        <v>1036</v>
      </c>
      <c r="B139" t="s">
        <v>11</v>
      </c>
      <c r="C139" t="s">
        <v>9</v>
      </c>
      <c r="D139">
        <v>45077</v>
      </c>
      <c r="E139">
        <v>3317513</v>
      </c>
      <c r="F139">
        <v>45481</v>
      </c>
      <c r="G139">
        <v>265</v>
      </c>
      <c r="H139" t="s">
        <v>18</v>
      </c>
    </row>
    <row r="140" spans="1:8">
      <c r="A140">
        <v>1042</v>
      </c>
      <c r="B140" t="s">
        <v>8</v>
      </c>
      <c r="C140" t="s">
        <v>12</v>
      </c>
      <c r="D140">
        <v>45017</v>
      </c>
      <c r="E140">
        <v>2329160</v>
      </c>
      <c r="F140">
        <v>1186788</v>
      </c>
      <c r="G140">
        <v>45</v>
      </c>
      <c r="H140" t="s">
        <v>10</v>
      </c>
    </row>
    <row r="141" spans="1:8">
      <c r="A141">
        <v>1013</v>
      </c>
      <c r="B141" t="s">
        <v>13</v>
      </c>
      <c r="C141" t="s">
        <v>14</v>
      </c>
      <c r="D141">
        <v>45227</v>
      </c>
      <c r="E141">
        <v>540589</v>
      </c>
      <c r="F141">
        <v>1528912</v>
      </c>
      <c r="G141">
        <v>73</v>
      </c>
      <c r="H141" t="s">
        <v>18</v>
      </c>
    </row>
    <row r="142" spans="1:8">
      <c r="A142">
        <v>1056</v>
      </c>
      <c r="B142" t="s">
        <v>11</v>
      </c>
      <c r="C142" t="s">
        <v>9</v>
      </c>
      <c r="D142">
        <v>45257</v>
      </c>
      <c r="E142">
        <v>4421764</v>
      </c>
      <c r="F142">
        <v>3448610</v>
      </c>
      <c r="G142">
        <v>252</v>
      </c>
      <c r="H142" t="s">
        <v>15</v>
      </c>
    </row>
    <row r="143" spans="1:8">
      <c r="A143">
        <v>1080</v>
      </c>
      <c r="B143" t="s">
        <v>21</v>
      </c>
      <c r="C143" t="s">
        <v>17</v>
      </c>
      <c r="D143">
        <v>45017</v>
      </c>
      <c r="E143">
        <v>3402826</v>
      </c>
      <c r="F143">
        <v>2277132</v>
      </c>
      <c r="G143">
        <v>56</v>
      </c>
      <c r="H143" t="s">
        <v>18</v>
      </c>
    </row>
    <row r="144" spans="1:8">
      <c r="A144">
        <v>1072</v>
      </c>
      <c r="B144" t="s">
        <v>8</v>
      </c>
      <c r="C144" t="s">
        <v>12</v>
      </c>
      <c r="D144">
        <v>45257</v>
      </c>
      <c r="E144">
        <v>406125</v>
      </c>
      <c r="F144">
        <v>344892</v>
      </c>
      <c r="G144">
        <v>207</v>
      </c>
      <c r="H144" t="s">
        <v>10</v>
      </c>
    </row>
    <row r="145" spans="1:8">
      <c r="A145">
        <v>1002</v>
      </c>
      <c r="B145" t="s">
        <v>21</v>
      </c>
      <c r="C145" t="s">
        <v>14</v>
      </c>
      <c r="D145">
        <v>45197</v>
      </c>
      <c r="E145">
        <v>4998484</v>
      </c>
      <c r="F145">
        <v>105542</v>
      </c>
      <c r="G145">
        <v>399</v>
      </c>
      <c r="H145" t="s">
        <v>20</v>
      </c>
    </row>
    <row r="146" spans="1:8">
      <c r="A146">
        <v>1016</v>
      </c>
      <c r="B146" t="s">
        <v>16</v>
      </c>
      <c r="C146" t="s">
        <v>9</v>
      </c>
      <c r="D146">
        <v>45047</v>
      </c>
      <c r="E146">
        <v>2697721</v>
      </c>
      <c r="F146">
        <v>681233</v>
      </c>
      <c r="G146">
        <v>229</v>
      </c>
      <c r="H146" t="s">
        <v>18</v>
      </c>
    </row>
    <row r="147" spans="1:8">
      <c r="A147">
        <v>1069</v>
      </c>
      <c r="B147" t="s">
        <v>21</v>
      </c>
      <c r="C147" t="s">
        <v>17</v>
      </c>
      <c r="D147">
        <v>45017</v>
      </c>
      <c r="E147">
        <v>3775409</v>
      </c>
      <c r="F147">
        <v>3437639</v>
      </c>
      <c r="G147">
        <v>480</v>
      </c>
      <c r="H147" t="s">
        <v>20</v>
      </c>
    </row>
    <row r="148" spans="1:8">
      <c r="A148">
        <v>1007</v>
      </c>
      <c r="B148" t="s">
        <v>11</v>
      </c>
      <c r="C148" t="s">
        <v>14</v>
      </c>
      <c r="D148">
        <v>45197</v>
      </c>
      <c r="E148">
        <v>4702423</v>
      </c>
      <c r="F148">
        <v>3743379</v>
      </c>
      <c r="G148">
        <v>58</v>
      </c>
      <c r="H148" t="s">
        <v>18</v>
      </c>
    </row>
    <row r="149" spans="1:8">
      <c r="A149">
        <v>1015</v>
      </c>
      <c r="B149" t="s">
        <v>21</v>
      </c>
      <c r="C149" t="s">
        <v>17</v>
      </c>
      <c r="D149">
        <v>45197</v>
      </c>
      <c r="E149">
        <v>1134043</v>
      </c>
      <c r="F149">
        <v>3882486</v>
      </c>
      <c r="G149">
        <v>29</v>
      </c>
      <c r="H149" t="s">
        <v>10</v>
      </c>
    </row>
    <row r="150" spans="1:8">
      <c r="A150">
        <v>1081</v>
      </c>
      <c r="B150" t="s">
        <v>16</v>
      </c>
      <c r="C150" t="s">
        <v>19</v>
      </c>
      <c r="D150">
        <v>44927</v>
      </c>
      <c r="E150">
        <v>1801191</v>
      </c>
      <c r="F150">
        <v>158340</v>
      </c>
      <c r="G150">
        <v>164</v>
      </c>
      <c r="H150" t="s">
        <v>18</v>
      </c>
    </row>
    <row r="151" spans="1:8">
      <c r="A151">
        <v>1077</v>
      </c>
      <c r="B151" t="s">
        <v>21</v>
      </c>
      <c r="C151" t="s">
        <v>22</v>
      </c>
      <c r="D151">
        <v>45137</v>
      </c>
      <c r="E151">
        <v>2403215</v>
      </c>
      <c r="F151">
        <v>1172320</v>
      </c>
      <c r="G151">
        <v>292</v>
      </c>
      <c r="H151" t="s">
        <v>15</v>
      </c>
    </row>
    <row r="152" spans="1:8">
      <c r="A152">
        <v>1057</v>
      </c>
      <c r="B152" t="s">
        <v>21</v>
      </c>
      <c r="C152" t="s">
        <v>12</v>
      </c>
      <c r="D152">
        <v>45047</v>
      </c>
      <c r="E152">
        <v>4569786</v>
      </c>
      <c r="F152">
        <v>2427159</v>
      </c>
      <c r="G152">
        <v>78</v>
      </c>
      <c r="H152" t="s">
        <v>15</v>
      </c>
    </row>
    <row r="153" spans="1:8">
      <c r="A153">
        <v>1031</v>
      </c>
      <c r="B153" t="s">
        <v>13</v>
      </c>
      <c r="C153" t="s">
        <v>19</v>
      </c>
      <c r="D153">
        <v>44957</v>
      </c>
      <c r="E153">
        <v>3992986</v>
      </c>
      <c r="F153">
        <v>1662954</v>
      </c>
      <c r="G153">
        <v>307</v>
      </c>
      <c r="H153" t="s">
        <v>20</v>
      </c>
    </row>
    <row r="154" spans="1:8">
      <c r="A154">
        <v>1003</v>
      </c>
      <c r="B154" t="s">
        <v>8</v>
      </c>
      <c r="C154" t="s">
        <v>12</v>
      </c>
      <c r="D154">
        <v>44987</v>
      </c>
      <c r="E154">
        <v>3657434</v>
      </c>
      <c r="F154">
        <v>1214585</v>
      </c>
      <c r="G154">
        <v>280</v>
      </c>
      <c r="H154" t="s">
        <v>18</v>
      </c>
    </row>
    <row r="155" spans="1:8">
      <c r="A155">
        <v>1069</v>
      </c>
      <c r="B155" t="s">
        <v>21</v>
      </c>
      <c r="C155" t="s">
        <v>17</v>
      </c>
      <c r="D155">
        <v>44927</v>
      </c>
      <c r="E155">
        <v>3659464</v>
      </c>
      <c r="F155">
        <v>1336884</v>
      </c>
      <c r="G155">
        <v>273</v>
      </c>
      <c r="H155" t="s">
        <v>15</v>
      </c>
    </row>
    <row r="156" spans="1:8">
      <c r="A156">
        <v>1025</v>
      </c>
      <c r="B156" t="s">
        <v>16</v>
      </c>
      <c r="C156" t="s">
        <v>19</v>
      </c>
      <c r="D156">
        <v>45227</v>
      </c>
      <c r="E156">
        <v>339592</v>
      </c>
      <c r="F156">
        <v>50705</v>
      </c>
      <c r="G156">
        <v>154</v>
      </c>
      <c r="H156" t="s">
        <v>10</v>
      </c>
    </row>
    <row r="157" spans="1:8">
      <c r="A157">
        <v>1067</v>
      </c>
      <c r="B157" t="s">
        <v>13</v>
      </c>
      <c r="C157" t="s">
        <v>17</v>
      </c>
      <c r="D157">
        <v>44957</v>
      </c>
      <c r="E157">
        <v>3397643</v>
      </c>
      <c r="F157">
        <v>559125</v>
      </c>
      <c r="G157">
        <v>443</v>
      </c>
      <c r="H157" t="s">
        <v>20</v>
      </c>
    </row>
    <row r="158" spans="1:8">
      <c r="A158">
        <v>1006</v>
      </c>
      <c r="B158" t="s">
        <v>16</v>
      </c>
      <c r="C158" t="s">
        <v>17</v>
      </c>
      <c r="D158">
        <v>45257</v>
      </c>
      <c r="E158">
        <v>3886351</v>
      </c>
      <c r="F158">
        <v>3670265</v>
      </c>
      <c r="G158">
        <v>457</v>
      </c>
      <c r="H158" t="s">
        <v>10</v>
      </c>
    </row>
    <row r="159" spans="1:8">
      <c r="A159">
        <v>1031</v>
      </c>
      <c r="B159" t="s">
        <v>11</v>
      </c>
      <c r="C159" t="s">
        <v>14</v>
      </c>
      <c r="D159">
        <v>45257</v>
      </c>
      <c r="E159">
        <v>4161500</v>
      </c>
      <c r="F159">
        <v>63080</v>
      </c>
      <c r="G159">
        <v>428</v>
      </c>
      <c r="H159" t="s">
        <v>10</v>
      </c>
    </row>
    <row r="160" spans="1:8">
      <c r="A160">
        <v>1074</v>
      </c>
      <c r="B160" t="s">
        <v>8</v>
      </c>
      <c r="C160" t="s">
        <v>12</v>
      </c>
      <c r="D160">
        <v>45077</v>
      </c>
      <c r="E160">
        <v>3230711</v>
      </c>
      <c r="F160">
        <v>2121857</v>
      </c>
      <c r="G160">
        <v>428</v>
      </c>
      <c r="H160" t="s">
        <v>15</v>
      </c>
    </row>
    <row r="161" spans="1:8">
      <c r="A161">
        <v>1082</v>
      </c>
      <c r="B161" t="s">
        <v>21</v>
      </c>
      <c r="C161" t="s">
        <v>12</v>
      </c>
      <c r="D161">
        <v>44927</v>
      </c>
      <c r="E161">
        <v>2274179</v>
      </c>
      <c r="F161">
        <v>2128968</v>
      </c>
      <c r="G161">
        <v>251</v>
      </c>
      <c r="H161" t="s">
        <v>18</v>
      </c>
    </row>
    <row r="162" spans="1:8">
      <c r="A162">
        <v>1089</v>
      </c>
      <c r="B162" t="s">
        <v>8</v>
      </c>
      <c r="C162" t="s">
        <v>17</v>
      </c>
      <c r="D162">
        <v>45197</v>
      </c>
      <c r="E162">
        <v>3151297</v>
      </c>
      <c r="F162">
        <v>683036</v>
      </c>
      <c r="G162">
        <v>208</v>
      </c>
      <c r="H162" t="s">
        <v>18</v>
      </c>
    </row>
    <row r="163" spans="1:8">
      <c r="A163">
        <v>1014</v>
      </c>
      <c r="B163" t="s">
        <v>16</v>
      </c>
      <c r="C163" t="s">
        <v>12</v>
      </c>
      <c r="D163">
        <v>44987</v>
      </c>
      <c r="E163">
        <v>2136673</v>
      </c>
      <c r="F163">
        <v>2414762</v>
      </c>
      <c r="G163">
        <v>196</v>
      </c>
      <c r="H163" t="s">
        <v>10</v>
      </c>
    </row>
    <row r="164" spans="1:8">
      <c r="A164">
        <v>1053</v>
      </c>
      <c r="B164" t="s">
        <v>16</v>
      </c>
      <c r="C164" t="s">
        <v>19</v>
      </c>
      <c r="D164">
        <v>45107</v>
      </c>
      <c r="E164">
        <v>2680472</v>
      </c>
      <c r="F164">
        <v>3252974</v>
      </c>
      <c r="G164">
        <v>426</v>
      </c>
      <c r="H164" t="s">
        <v>20</v>
      </c>
    </row>
    <row r="165" spans="1:8">
      <c r="A165">
        <v>1087</v>
      </c>
      <c r="B165" t="s">
        <v>11</v>
      </c>
      <c r="C165" t="s">
        <v>17</v>
      </c>
      <c r="D165">
        <v>45137</v>
      </c>
      <c r="E165">
        <v>3184835</v>
      </c>
      <c r="F165">
        <v>713337</v>
      </c>
      <c r="G165">
        <v>15</v>
      </c>
      <c r="H165" t="s">
        <v>18</v>
      </c>
    </row>
    <row r="166" spans="1:8">
      <c r="A166">
        <v>1069</v>
      </c>
      <c r="B166" t="s">
        <v>21</v>
      </c>
      <c r="C166" t="s">
        <v>12</v>
      </c>
      <c r="D166">
        <v>45227</v>
      </c>
      <c r="E166">
        <v>-483826</v>
      </c>
      <c r="F166">
        <v>2447206</v>
      </c>
      <c r="G166">
        <v>153</v>
      </c>
      <c r="H166" t="s">
        <v>18</v>
      </c>
    </row>
    <row r="167" spans="1:8">
      <c r="A167">
        <v>1001</v>
      </c>
      <c r="B167" t="s">
        <v>11</v>
      </c>
      <c r="C167" t="s">
        <v>14</v>
      </c>
      <c r="D167">
        <v>45167</v>
      </c>
      <c r="E167">
        <v>1347244</v>
      </c>
      <c r="F167">
        <v>422453</v>
      </c>
      <c r="G167">
        <v>133</v>
      </c>
      <c r="H167" t="s">
        <v>10</v>
      </c>
    </row>
    <row r="168" spans="1:8">
      <c r="A168">
        <v>1059</v>
      </c>
      <c r="B168" t="s">
        <v>21</v>
      </c>
      <c r="C168" t="s">
        <v>12</v>
      </c>
      <c r="D168">
        <v>45107</v>
      </c>
      <c r="E168">
        <v>4084021</v>
      </c>
      <c r="F168">
        <v>495178</v>
      </c>
      <c r="G168">
        <v>190</v>
      </c>
      <c r="H168" t="s">
        <v>10</v>
      </c>
    </row>
    <row r="169" spans="1:8">
      <c r="A169">
        <v>1033</v>
      </c>
      <c r="B169" t="s">
        <v>13</v>
      </c>
      <c r="C169" t="s">
        <v>14</v>
      </c>
      <c r="D169">
        <v>45137</v>
      </c>
      <c r="E169">
        <v>4337798</v>
      </c>
      <c r="F169">
        <v>3550515</v>
      </c>
      <c r="G169">
        <v>142</v>
      </c>
      <c r="H169" t="s">
        <v>18</v>
      </c>
    </row>
    <row r="170" spans="1:8">
      <c r="A170">
        <v>1068</v>
      </c>
      <c r="B170" t="s">
        <v>11</v>
      </c>
      <c r="C170" t="s">
        <v>9</v>
      </c>
      <c r="D170">
        <v>45017</v>
      </c>
      <c r="E170">
        <v>3377801</v>
      </c>
      <c r="F170">
        <v>1045999</v>
      </c>
      <c r="G170">
        <v>219</v>
      </c>
      <c r="H170" t="s">
        <v>15</v>
      </c>
    </row>
    <row r="171" spans="1:8">
      <c r="A171">
        <v>1048</v>
      </c>
      <c r="B171" t="s">
        <v>8</v>
      </c>
      <c r="C171" t="s">
        <v>14</v>
      </c>
      <c r="D171">
        <v>44987</v>
      </c>
      <c r="E171">
        <v>1114751</v>
      </c>
      <c r="F171">
        <v>2962423</v>
      </c>
      <c r="G171">
        <v>155</v>
      </c>
      <c r="H171" t="s">
        <v>15</v>
      </c>
    </row>
    <row r="172" spans="1:8">
      <c r="A172">
        <v>1033</v>
      </c>
      <c r="B172" t="s">
        <v>16</v>
      </c>
      <c r="C172" t="s">
        <v>12</v>
      </c>
      <c r="D172">
        <v>45107</v>
      </c>
      <c r="E172">
        <v>1084081</v>
      </c>
      <c r="F172">
        <v>3521017</v>
      </c>
      <c r="G172">
        <v>65</v>
      </c>
      <c r="H172" t="s">
        <v>20</v>
      </c>
    </row>
    <row r="173" spans="1:8">
      <c r="A173">
        <v>1057</v>
      </c>
      <c r="B173" t="s">
        <v>16</v>
      </c>
      <c r="C173" t="s">
        <v>19</v>
      </c>
      <c r="D173">
        <v>45257</v>
      </c>
      <c r="E173">
        <v>2933580</v>
      </c>
      <c r="F173">
        <v>96021</v>
      </c>
      <c r="G173">
        <v>34</v>
      </c>
      <c r="H173" t="s">
        <v>10</v>
      </c>
    </row>
    <row r="174" spans="1:8">
      <c r="A174">
        <v>1073</v>
      </c>
      <c r="B174" t="s">
        <v>21</v>
      </c>
      <c r="C174" t="s">
        <v>12</v>
      </c>
      <c r="D174">
        <v>45107</v>
      </c>
      <c r="E174">
        <v>4726623</v>
      </c>
      <c r="F174">
        <v>743108</v>
      </c>
      <c r="G174">
        <v>432</v>
      </c>
      <c r="H174" t="s">
        <v>18</v>
      </c>
    </row>
    <row r="175" spans="1:8">
      <c r="A175">
        <v>1061</v>
      </c>
      <c r="B175" t="s">
        <v>11</v>
      </c>
      <c r="C175" t="s">
        <v>19</v>
      </c>
      <c r="D175">
        <v>45047</v>
      </c>
      <c r="E175">
        <v>1474909</v>
      </c>
      <c r="F175">
        <v>397127</v>
      </c>
      <c r="G175">
        <v>75</v>
      </c>
      <c r="H175" t="s">
        <v>15</v>
      </c>
    </row>
    <row r="176" spans="1:8">
      <c r="A176">
        <v>1062</v>
      </c>
      <c r="B176" t="s">
        <v>13</v>
      </c>
      <c r="C176" t="s">
        <v>22</v>
      </c>
      <c r="D176">
        <v>45197</v>
      </c>
      <c r="E176">
        <v>4809006</v>
      </c>
      <c r="F176">
        <v>82098</v>
      </c>
      <c r="G176">
        <v>494</v>
      </c>
      <c r="H176" t="s">
        <v>15</v>
      </c>
    </row>
    <row r="177" spans="1:8">
      <c r="A177">
        <v>1070</v>
      </c>
      <c r="B177" t="s">
        <v>8</v>
      </c>
      <c r="C177" t="s">
        <v>17</v>
      </c>
      <c r="D177">
        <v>45107</v>
      </c>
      <c r="E177">
        <v>3379374</v>
      </c>
      <c r="F177">
        <v>1900734</v>
      </c>
      <c r="G177">
        <v>107</v>
      </c>
      <c r="H177" t="s">
        <v>15</v>
      </c>
    </row>
    <row r="178" spans="1:8">
      <c r="A178">
        <v>1100</v>
      </c>
      <c r="B178" t="s">
        <v>11</v>
      </c>
      <c r="C178" t="s">
        <v>19</v>
      </c>
      <c r="D178">
        <v>45257</v>
      </c>
      <c r="E178">
        <v>3381468</v>
      </c>
      <c r="F178">
        <v>416967</v>
      </c>
      <c r="G178">
        <v>113</v>
      </c>
      <c r="H178" t="s">
        <v>15</v>
      </c>
    </row>
    <row r="179" spans="1:8">
      <c r="A179">
        <v>1032</v>
      </c>
      <c r="B179" t="s">
        <v>8</v>
      </c>
      <c r="C179" t="s">
        <v>9</v>
      </c>
      <c r="D179">
        <v>45107</v>
      </c>
      <c r="E179">
        <v>2679084</v>
      </c>
      <c r="F179">
        <v>2755073</v>
      </c>
      <c r="G179">
        <v>177</v>
      </c>
      <c r="H179" t="s">
        <v>10</v>
      </c>
    </row>
    <row r="180" spans="1:8">
      <c r="A180">
        <v>1081</v>
      </c>
      <c r="B180" t="s">
        <v>21</v>
      </c>
      <c r="C180" t="s">
        <v>12</v>
      </c>
      <c r="D180">
        <v>45107</v>
      </c>
      <c r="E180">
        <v>1231803</v>
      </c>
      <c r="F180">
        <v>1767019</v>
      </c>
      <c r="G180">
        <v>143</v>
      </c>
      <c r="H180" t="s">
        <v>10</v>
      </c>
    </row>
    <row r="181" spans="1:8">
      <c r="A181">
        <v>1029</v>
      </c>
      <c r="B181" t="s">
        <v>16</v>
      </c>
      <c r="C181" t="s">
        <v>19</v>
      </c>
      <c r="D181">
        <v>45167</v>
      </c>
      <c r="E181">
        <v>5762979.375</v>
      </c>
      <c r="F181">
        <v>2451694.5</v>
      </c>
      <c r="G181">
        <v>217</v>
      </c>
      <c r="H181" t="s">
        <v>18</v>
      </c>
    </row>
    <row r="182" spans="1:8">
      <c r="A182">
        <v>1051</v>
      </c>
      <c r="B182" t="s">
        <v>8</v>
      </c>
      <c r="C182" t="s">
        <v>17</v>
      </c>
      <c r="D182">
        <v>45197</v>
      </c>
      <c r="E182">
        <v>2869895</v>
      </c>
      <c r="F182">
        <v>2100774</v>
      </c>
      <c r="G182">
        <v>422</v>
      </c>
      <c r="H182" t="s">
        <v>18</v>
      </c>
    </row>
    <row r="183" spans="1:8">
      <c r="A183">
        <v>1030</v>
      </c>
      <c r="B183" t="s">
        <v>11</v>
      </c>
      <c r="C183" t="s">
        <v>17</v>
      </c>
      <c r="D183">
        <v>44987</v>
      </c>
      <c r="E183">
        <v>2062720</v>
      </c>
      <c r="F183">
        <v>2712846</v>
      </c>
      <c r="G183">
        <v>176</v>
      </c>
      <c r="H183" t="s">
        <v>10</v>
      </c>
    </row>
    <row r="184" spans="1:8">
      <c r="A184">
        <v>1064</v>
      </c>
      <c r="B184" t="s">
        <v>11</v>
      </c>
      <c r="C184" t="s">
        <v>19</v>
      </c>
      <c r="D184">
        <v>45197</v>
      </c>
      <c r="E184">
        <v>892038</v>
      </c>
      <c r="F184">
        <v>342363</v>
      </c>
      <c r="G184">
        <v>447</v>
      </c>
      <c r="H184" t="s">
        <v>15</v>
      </c>
    </row>
    <row r="185" spans="1:8">
      <c r="A185">
        <v>1045</v>
      </c>
      <c r="B185" t="s">
        <v>11</v>
      </c>
      <c r="C185" t="s">
        <v>14</v>
      </c>
      <c r="D185">
        <v>44927</v>
      </c>
      <c r="E185">
        <v>808319</v>
      </c>
      <c r="F185">
        <v>63749</v>
      </c>
      <c r="G185">
        <v>323</v>
      </c>
      <c r="H185" t="s">
        <v>20</v>
      </c>
    </row>
    <row r="186" spans="1:8">
      <c r="A186">
        <v>1037</v>
      </c>
      <c r="B186" t="s">
        <v>13</v>
      </c>
      <c r="C186" t="s">
        <v>17</v>
      </c>
      <c r="D186">
        <v>44927</v>
      </c>
      <c r="E186">
        <v>285883</v>
      </c>
      <c r="F186">
        <v>378734</v>
      </c>
      <c r="G186">
        <v>111</v>
      </c>
      <c r="H186" t="s">
        <v>10</v>
      </c>
    </row>
    <row r="187" spans="1:8">
      <c r="A187">
        <v>1100</v>
      </c>
      <c r="B187" t="s">
        <v>8</v>
      </c>
      <c r="C187" t="s">
        <v>9</v>
      </c>
      <c r="D187">
        <v>45167</v>
      </c>
      <c r="E187">
        <v>4056982</v>
      </c>
      <c r="F187">
        <v>2011492</v>
      </c>
      <c r="G187">
        <v>164</v>
      </c>
      <c r="H187" t="s">
        <v>15</v>
      </c>
    </row>
    <row r="188" spans="1:8">
      <c r="A188">
        <v>1069</v>
      </c>
      <c r="B188" t="s">
        <v>11</v>
      </c>
      <c r="C188" t="s">
        <v>12</v>
      </c>
      <c r="D188">
        <v>45197</v>
      </c>
      <c r="E188">
        <v>3765427</v>
      </c>
      <c r="F188">
        <v>2770096</v>
      </c>
      <c r="G188">
        <v>325</v>
      </c>
      <c r="H188" t="s">
        <v>20</v>
      </c>
    </row>
    <row r="189" spans="1:8">
      <c r="A189">
        <v>1069</v>
      </c>
      <c r="B189" t="s">
        <v>16</v>
      </c>
      <c r="C189" t="s">
        <v>12</v>
      </c>
      <c r="D189">
        <v>45137</v>
      </c>
      <c r="E189">
        <v>882325</v>
      </c>
      <c r="F189">
        <v>579610</v>
      </c>
      <c r="G189">
        <v>456</v>
      </c>
      <c r="H189" t="s">
        <v>15</v>
      </c>
    </row>
    <row r="190" spans="1:8">
      <c r="A190">
        <v>1077</v>
      </c>
      <c r="B190" t="s">
        <v>11</v>
      </c>
      <c r="C190" t="s">
        <v>14</v>
      </c>
      <c r="D190">
        <v>45107</v>
      </c>
      <c r="E190">
        <v>4900923</v>
      </c>
      <c r="F190">
        <v>77354</v>
      </c>
      <c r="G190">
        <v>217</v>
      </c>
      <c r="H190" t="s">
        <v>18</v>
      </c>
    </row>
    <row r="191" spans="1:8">
      <c r="A191">
        <v>1031</v>
      </c>
      <c r="B191" t="s">
        <v>21</v>
      </c>
      <c r="C191" t="s">
        <v>14</v>
      </c>
      <c r="D191">
        <v>44927</v>
      </c>
      <c r="E191">
        <v>3153213</v>
      </c>
      <c r="F191">
        <v>2210828</v>
      </c>
      <c r="G191">
        <v>250</v>
      </c>
      <c r="H191" t="s">
        <v>10</v>
      </c>
    </row>
    <row r="192" spans="1:8">
      <c r="A192">
        <v>1052</v>
      </c>
      <c r="B192" t="s">
        <v>11</v>
      </c>
      <c r="C192" t="s">
        <v>17</v>
      </c>
      <c r="D192">
        <v>45227</v>
      </c>
      <c r="E192">
        <v>3247053</v>
      </c>
      <c r="F192">
        <v>887895</v>
      </c>
      <c r="G192">
        <v>217</v>
      </c>
      <c r="H192" t="s">
        <v>15</v>
      </c>
    </row>
    <row r="193" spans="1:8">
      <c r="A193">
        <v>1065</v>
      </c>
      <c r="B193" t="s">
        <v>21</v>
      </c>
      <c r="C193" t="s">
        <v>9</v>
      </c>
      <c r="D193">
        <v>44987</v>
      </c>
      <c r="E193">
        <v>3292645</v>
      </c>
      <c r="F193">
        <v>3484918</v>
      </c>
      <c r="G193">
        <v>382</v>
      </c>
      <c r="H193" t="s">
        <v>18</v>
      </c>
    </row>
    <row r="194" spans="1:8">
      <c r="A194">
        <v>1055</v>
      </c>
      <c r="B194" t="s">
        <v>16</v>
      </c>
      <c r="C194" t="s">
        <v>12</v>
      </c>
      <c r="D194">
        <v>44957</v>
      </c>
      <c r="E194">
        <v>572706</v>
      </c>
      <c r="F194">
        <v>847592</v>
      </c>
      <c r="G194">
        <v>228</v>
      </c>
      <c r="H194" t="s">
        <v>15</v>
      </c>
    </row>
    <row r="195" spans="1:8">
      <c r="A195">
        <v>1066</v>
      </c>
      <c r="B195" t="s">
        <v>16</v>
      </c>
      <c r="C195" t="s">
        <v>12</v>
      </c>
      <c r="D195">
        <v>44987</v>
      </c>
      <c r="E195">
        <v>3261520</v>
      </c>
      <c r="F195">
        <v>2544973</v>
      </c>
      <c r="G195">
        <v>353</v>
      </c>
      <c r="H195" t="s">
        <v>10</v>
      </c>
    </row>
    <row r="196" spans="1:8">
      <c r="A196">
        <v>1028</v>
      </c>
      <c r="B196" t="s">
        <v>8</v>
      </c>
      <c r="C196" t="s">
        <v>12</v>
      </c>
      <c r="D196">
        <v>45077</v>
      </c>
      <c r="E196">
        <v>2870005</v>
      </c>
      <c r="F196">
        <v>155861</v>
      </c>
      <c r="G196">
        <v>277</v>
      </c>
      <c r="H196" t="s">
        <v>10</v>
      </c>
    </row>
    <row r="197" spans="1:8">
      <c r="A197">
        <v>1083</v>
      </c>
      <c r="B197" t="s">
        <v>21</v>
      </c>
      <c r="C197" t="s">
        <v>14</v>
      </c>
      <c r="D197">
        <v>45077</v>
      </c>
      <c r="E197">
        <v>1232121</v>
      </c>
      <c r="F197">
        <v>280062</v>
      </c>
      <c r="G197">
        <v>381</v>
      </c>
      <c r="H197" t="s">
        <v>10</v>
      </c>
    </row>
    <row r="198" spans="1:8">
      <c r="A198">
        <v>1074</v>
      </c>
      <c r="B198" t="s">
        <v>16</v>
      </c>
      <c r="C198" t="s">
        <v>17</v>
      </c>
      <c r="D198">
        <v>45047</v>
      </c>
      <c r="E198">
        <v>2071859</v>
      </c>
      <c r="F198">
        <v>3311588</v>
      </c>
      <c r="G198">
        <v>144</v>
      </c>
      <c r="H198" t="s">
        <v>18</v>
      </c>
    </row>
    <row r="199" spans="1:8">
      <c r="A199">
        <v>1040</v>
      </c>
      <c r="B199" t="s">
        <v>16</v>
      </c>
      <c r="C199" t="s">
        <v>17</v>
      </c>
      <c r="D199">
        <v>45137</v>
      </c>
      <c r="E199">
        <v>-1939863.625</v>
      </c>
      <c r="F199">
        <v>3556797</v>
      </c>
      <c r="G199">
        <v>360</v>
      </c>
      <c r="H199" t="s">
        <v>15</v>
      </c>
    </row>
    <row r="200" spans="1:8">
      <c r="A200">
        <v>1038</v>
      </c>
      <c r="B200" t="s">
        <v>16</v>
      </c>
      <c r="C200" t="s">
        <v>17</v>
      </c>
      <c r="D200">
        <v>44987</v>
      </c>
      <c r="E200">
        <v>1090447</v>
      </c>
      <c r="F200">
        <v>2530205</v>
      </c>
      <c r="G200">
        <v>29</v>
      </c>
      <c r="H200" t="s">
        <v>18</v>
      </c>
    </row>
    <row r="201" spans="1:8">
      <c r="A201">
        <v>1045</v>
      </c>
      <c r="B201" t="s">
        <v>21</v>
      </c>
      <c r="C201" t="s">
        <v>22</v>
      </c>
      <c r="D201">
        <v>45047</v>
      </c>
      <c r="E201">
        <v>4577348</v>
      </c>
      <c r="F201">
        <v>2128968</v>
      </c>
      <c r="G201">
        <v>203</v>
      </c>
      <c r="H201" t="s">
        <v>18</v>
      </c>
    </row>
    <row r="202" spans="1:8">
      <c r="A202">
        <v>1002</v>
      </c>
      <c r="B202" t="s">
        <v>16</v>
      </c>
      <c r="C202" t="s">
        <v>19</v>
      </c>
      <c r="D202">
        <v>44957</v>
      </c>
      <c r="E202">
        <v>1489333</v>
      </c>
      <c r="F202">
        <v>46974</v>
      </c>
      <c r="G202">
        <v>429</v>
      </c>
      <c r="H202" t="s">
        <v>18</v>
      </c>
    </row>
    <row r="203" spans="1:8">
      <c r="A203">
        <v>1032</v>
      </c>
      <c r="B203" t="s">
        <v>8</v>
      </c>
      <c r="C203" t="s">
        <v>12</v>
      </c>
      <c r="D203">
        <v>44957</v>
      </c>
      <c r="E203">
        <v>3783053</v>
      </c>
      <c r="F203">
        <v>3732739</v>
      </c>
      <c r="G203">
        <v>491</v>
      </c>
      <c r="H203" t="s">
        <v>15</v>
      </c>
    </row>
    <row r="204" spans="1:8">
      <c r="A204">
        <v>1043</v>
      </c>
      <c r="B204" t="s">
        <v>13</v>
      </c>
      <c r="C204" t="s">
        <v>19</v>
      </c>
      <c r="D204">
        <v>45257</v>
      </c>
      <c r="E204">
        <v>1714287</v>
      </c>
      <c r="F204">
        <v>1640581</v>
      </c>
      <c r="G204">
        <v>106</v>
      </c>
      <c r="H204" t="s">
        <v>18</v>
      </c>
    </row>
    <row r="205" spans="1:8">
      <c r="A205">
        <v>1018</v>
      </c>
      <c r="B205" t="s">
        <v>21</v>
      </c>
      <c r="C205" t="s">
        <v>14</v>
      </c>
      <c r="D205">
        <v>45107</v>
      </c>
      <c r="E205">
        <v>718798</v>
      </c>
      <c r="F205">
        <v>3947905</v>
      </c>
      <c r="G205">
        <v>187</v>
      </c>
      <c r="H205" t="s">
        <v>20</v>
      </c>
    </row>
    <row r="206" spans="1:8">
      <c r="A206">
        <v>1003</v>
      </c>
      <c r="B206" t="s">
        <v>16</v>
      </c>
      <c r="C206" t="s">
        <v>12</v>
      </c>
      <c r="D206">
        <v>45137</v>
      </c>
      <c r="E206">
        <v>1916124</v>
      </c>
      <c r="F206">
        <v>3671157</v>
      </c>
      <c r="G206">
        <v>335</v>
      </c>
      <c r="H206" t="s">
        <v>10</v>
      </c>
    </row>
    <row r="207" spans="1:8">
      <c r="A207">
        <v>1036</v>
      </c>
      <c r="B207" t="s">
        <v>8</v>
      </c>
      <c r="C207" t="s">
        <v>9</v>
      </c>
      <c r="D207">
        <v>45257</v>
      </c>
      <c r="E207">
        <v>4184193</v>
      </c>
      <c r="F207">
        <v>2780974</v>
      </c>
      <c r="G207">
        <v>280</v>
      </c>
      <c r="H207" t="s">
        <v>10</v>
      </c>
    </row>
    <row r="208" spans="1:8">
      <c r="A208">
        <v>1070</v>
      </c>
      <c r="B208" t="s">
        <v>13</v>
      </c>
      <c r="C208" t="s">
        <v>19</v>
      </c>
      <c r="D208">
        <v>45257</v>
      </c>
      <c r="E208">
        <v>2191047</v>
      </c>
      <c r="F208">
        <v>3942335</v>
      </c>
      <c r="G208">
        <v>487</v>
      </c>
      <c r="H208" t="s">
        <v>10</v>
      </c>
    </row>
    <row r="209" spans="1:8">
      <c r="A209">
        <v>1027</v>
      </c>
      <c r="B209" t="s">
        <v>16</v>
      </c>
      <c r="C209" t="s">
        <v>12</v>
      </c>
      <c r="D209">
        <v>44957</v>
      </c>
      <c r="E209">
        <v>3338161</v>
      </c>
      <c r="F209">
        <v>2328806</v>
      </c>
      <c r="G209">
        <v>292</v>
      </c>
      <c r="H209" t="s">
        <v>18</v>
      </c>
    </row>
    <row r="210" spans="1:8">
      <c r="A210">
        <v>1024</v>
      </c>
      <c r="B210" t="s">
        <v>8</v>
      </c>
      <c r="C210" t="s">
        <v>9</v>
      </c>
      <c r="D210">
        <v>45077</v>
      </c>
      <c r="E210">
        <v>2207867</v>
      </c>
      <c r="F210">
        <v>960796</v>
      </c>
      <c r="G210">
        <v>275</v>
      </c>
      <c r="H210" t="s">
        <v>15</v>
      </c>
    </row>
    <row r="211" spans="1:8">
      <c r="A211">
        <v>1065</v>
      </c>
      <c r="B211" t="s">
        <v>11</v>
      </c>
      <c r="C211" t="s">
        <v>12</v>
      </c>
      <c r="D211">
        <v>44957</v>
      </c>
      <c r="E211">
        <v>3736672</v>
      </c>
      <c r="F211">
        <v>3958244</v>
      </c>
      <c r="G211">
        <v>109</v>
      </c>
      <c r="H211" t="s">
        <v>20</v>
      </c>
    </row>
    <row r="212" spans="1:8">
      <c r="A212">
        <v>1082</v>
      </c>
      <c r="B212" t="s">
        <v>11</v>
      </c>
      <c r="C212" t="s">
        <v>19</v>
      </c>
      <c r="D212">
        <v>45077</v>
      </c>
      <c r="E212">
        <v>732687</v>
      </c>
      <c r="F212">
        <v>878016</v>
      </c>
      <c r="G212">
        <v>60</v>
      </c>
      <c r="H212" t="s">
        <v>15</v>
      </c>
    </row>
    <row r="213" spans="1:8">
      <c r="A213">
        <v>1069</v>
      </c>
      <c r="B213" t="s">
        <v>8</v>
      </c>
      <c r="C213" t="s">
        <v>19</v>
      </c>
      <c r="D213">
        <v>45227</v>
      </c>
      <c r="E213">
        <v>2666599</v>
      </c>
      <c r="F213">
        <v>465280</v>
      </c>
      <c r="G213">
        <v>138</v>
      </c>
      <c r="H213" t="s">
        <v>15</v>
      </c>
    </row>
    <row r="214" spans="1:8">
      <c r="A214">
        <v>1017</v>
      </c>
      <c r="B214" t="s">
        <v>11</v>
      </c>
      <c r="C214" t="s">
        <v>14</v>
      </c>
      <c r="D214">
        <v>45107</v>
      </c>
      <c r="E214">
        <v>4886093</v>
      </c>
      <c r="F214">
        <v>762340</v>
      </c>
      <c r="G214">
        <v>364</v>
      </c>
      <c r="H214" t="s">
        <v>15</v>
      </c>
    </row>
    <row r="215" spans="1:8">
      <c r="A215">
        <v>1004</v>
      </c>
      <c r="B215" t="s">
        <v>11</v>
      </c>
      <c r="C215" t="s">
        <v>12</v>
      </c>
      <c r="D215">
        <v>45227</v>
      </c>
      <c r="E215">
        <v>4742051</v>
      </c>
      <c r="F215">
        <v>600865</v>
      </c>
      <c r="G215">
        <v>63</v>
      </c>
      <c r="H215" t="s">
        <v>10</v>
      </c>
    </row>
    <row r="216" spans="1:8">
      <c r="A216">
        <v>1070</v>
      </c>
      <c r="B216" t="s">
        <v>8</v>
      </c>
      <c r="C216" t="s">
        <v>19</v>
      </c>
      <c r="D216">
        <v>45077</v>
      </c>
      <c r="E216">
        <v>2409228</v>
      </c>
      <c r="F216">
        <v>988457</v>
      </c>
      <c r="G216">
        <v>426</v>
      </c>
      <c r="H216" t="s">
        <v>10</v>
      </c>
    </row>
    <row r="217" spans="1:8">
      <c r="A217">
        <v>1072</v>
      </c>
      <c r="B217" t="s">
        <v>13</v>
      </c>
      <c r="C217" t="s">
        <v>9</v>
      </c>
      <c r="D217">
        <v>44957</v>
      </c>
      <c r="E217">
        <v>325579</v>
      </c>
      <c r="F217">
        <v>3260358</v>
      </c>
      <c r="G217">
        <v>166</v>
      </c>
      <c r="H217" t="s">
        <v>18</v>
      </c>
    </row>
    <row r="218" spans="1:8">
      <c r="A218">
        <v>1096</v>
      </c>
      <c r="B218" t="s">
        <v>11</v>
      </c>
      <c r="C218" t="s">
        <v>12</v>
      </c>
      <c r="D218">
        <v>44987</v>
      </c>
      <c r="E218">
        <v>3298769</v>
      </c>
      <c r="F218">
        <v>1363159</v>
      </c>
      <c r="G218">
        <v>236</v>
      </c>
      <c r="H218" t="s">
        <v>15</v>
      </c>
    </row>
    <row r="219" spans="1:8">
      <c r="A219">
        <v>1038</v>
      </c>
      <c r="B219" t="s">
        <v>21</v>
      </c>
      <c r="C219" t="s">
        <v>17</v>
      </c>
      <c r="D219">
        <v>44927</v>
      </c>
      <c r="E219">
        <v>1954721</v>
      </c>
      <c r="F219">
        <v>1217299</v>
      </c>
      <c r="G219">
        <v>451</v>
      </c>
      <c r="H219" t="s">
        <v>20</v>
      </c>
    </row>
    <row r="220" spans="1:8">
      <c r="A220">
        <v>1013</v>
      </c>
      <c r="B220" t="s">
        <v>13</v>
      </c>
      <c r="C220" t="s">
        <v>19</v>
      </c>
      <c r="D220">
        <v>45017</v>
      </c>
      <c r="E220">
        <v>2672514</v>
      </c>
      <c r="F220">
        <v>1329726</v>
      </c>
      <c r="G220">
        <v>149</v>
      </c>
      <c r="H220" t="s">
        <v>15</v>
      </c>
    </row>
    <row r="221" spans="1:8">
      <c r="A221">
        <v>1011</v>
      </c>
      <c r="B221" t="s">
        <v>13</v>
      </c>
      <c r="C221" t="s">
        <v>12</v>
      </c>
      <c r="D221">
        <v>45167</v>
      </c>
      <c r="E221">
        <v>1588927</v>
      </c>
      <c r="F221">
        <v>1528912</v>
      </c>
      <c r="G221">
        <v>485</v>
      </c>
      <c r="H221" t="s">
        <v>18</v>
      </c>
    </row>
    <row r="222" spans="1:8">
      <c r="A222">
        <v>1048</v>
      </c>
      <c r="B222" t="s">
        <v>13</v>
      </c>
      <c r="C222" t="s">
        <v>17</v>
      </c>
      <c r="D222">
        <v>45197</v>
      </c>
      <c r="E222">
        <v>2921141</v>
      </c>
      <c r="F222">
        <v>1458677</v>
      </c>
      <c r="G222">
        <v>427</v>
      </c>
      <c r="H222" t="s">
        <v>10</v>
      </c>
    </row>
    <row r="223" spans="1:8">
      <c r="A223">
        <v>1063</v>
      </c>
      <c r="B223" t="s">
        <v>21</v>
      </c>
      <c r="C223" t="s">
        <v>19</v>
      </c>
      <c r="D223">
        <v>44927</v>
      </c>
      <c r="E223">
        <v>1229148</v>
      </c>
      <c r="F223">
        <v>278515</v>
      </c>
      <c r="G223">
        <v>342</v>
      </c>
      <c r="H223" t="s">
        <v>18</v>
      </c>
    </row>
    <row r="224" spans="1:8">
      <c r="A224">
        <v>1054</v>
      </c>
      <c r="B224" t="s">
        <v>16</v>
      </c>
      <c r="C224" t="s">
        <v>9</v>
      </c>
      <c r="D224">
        <v>45017</v>
      </c>
      <c r="E224">
        <v>1196104</v>
      </c>
      <c r="F224">
        <v>3433292</v>
      </c>
      <c r="G224">
        <v>377</v>
      </c>
      <c r="H224" t="s">
        <v>20</v>
      </c>
    </row>
    <row r="225" spans="1:8">
      <c r="A225">
        <v>1007</v>
      </c>
      <c r="B225" t="s">
        <v>13</v>
      </c>
      <c r="C225" t="s">
        <v>19</v>
      </c>
      <c r="D225">
        <v>45197</v>
      </c>
      <c r="E225">
        <v>3937541</v>
      </c>
      <c r="F225">
        <v>2838083</v>
      </c>
      <c r="G225">
        <v>68</v>
      </c>
      <c r="H225" t="s">
        <v>10</v>
      </c>
    </row>
    <row r="226" spans="1:8">
      <c r="A226">
        <v>1073</v>
      </c>
      <c r="B226" t="s">
        <v>21</v>
      </c>
      <c r="C226" t="s">
        <v>22</v>
      </c>
      <c r="D226">
        <v>45017</v>
      </c>
      <c r="E226">
        <v>5762979.375</v>
      </c>
      <c r="F226">
        <v>2673147</v>
      </c>
      <c r="G226">
        <v>114</v>
      </c>
      <c r="H226" t="s">
        <v>20</v>
      </c>
    </row>
    <row r="227" spans="1:8">
      <c r="A227">
        <v>1017</v>
      </c>
      <c r="B227" t="s">
        <v>8</v>
      </c>
      <c r="C227" t="s">
        <v>12</v>
      </c>
      <c r="D227">
        <v>45107</v>
      </c>
      <c r="E227">
        <v>938113</v>
      </c>
      <c r="F227">
        <v>1707586</v>
      </c>
      <c r="G227">
        <v>120</v>
      </c>
      <c r="H227" t="s">
        <v>20</v>
      </c>
    </row>
    <row r="228" spans="1:8">
      <c r="A228">
        <v>1076</v>
      </c>
      <c r="B228" t="s">
        <v>13</v>
      </c>
      <c r="C228" t="s">
        <v>12</v>
      </c>
      <c r="D228">
        <v>45167</v>
      </c>
      <c r="E228">
        <v>1188537</v>
      </c>
      <c r="F228">
        <v>615173</v>
      </c>
      <c r="G228">
        <v>420</v>
      </c>
      <c r="H228" t="s">
        <v>20</v>
      </c>
    </row>
    <row r="229" spans="1:8">
      <c r="A229">
        <v>1021</v>
      </c>
      <c r="B229" t="s">
        <v>16</v>
      </c>
      <c r="C229" t="s">
        <v>9</v>
      </c>
      <c r="D229">
        <v>45107</v>
      </c>
      <c r="E229">
        <v>1957556</v>
      </c>
      <c r="F229">
        <v>2509093</v>
      </c>
      <c r="G229">
        <v>207</v>
      </c>
      <c r="H229" t="s">
        <v>15</v>
      </c>
    </row>
    <row r="230" spans="1:8">
      <c r="A230">
        <v>1079</v>
      </c>
      <c r="B230" t="s">
        <v>11</v>
      </c>
      <c r="C230" t="s">
        <v>14</v>
      </c>
      <c r="D230">
        <v>45017</v>
      </c>
      <c r="E230">
        <v>2970150</v>
      </c>
      <c r="F230">
        <v>1063823</v>
      </c>
      <c r="G230">
        <v>248</v>
      </c>
      <c r="H230" t="s">
        <v>10</v>
      </c>
    </row>
    <row r="231" spans="1:8">
      <c r="A231">
        <v>1062</v>
      </c>
      <c r="B231" t="s">
        <v>13</v>
      </c>
      <c r="C231" t="s">
        <v>17</v>
      </c>
      <c r="D231">
        <v>44927</v>
      </c>
      <c r="E231">
        <v>2208864</v>
      </c>
      <c r="F231">
        <v>3297525</v>
      </c>
      <c r="G231">
        <v>391</v>
      </c>
      <c r="H231" t="s">
        <v>15</v>
      </c>
    </row>
    <row r="232" spans="1:8">
      <c r="A232">
        <v>1031</v>
      </c>
      <c r="B232" t="s">
        <v>8</v>
      </c>
      <c r="C232" t="s">
        <v>9</v>
      </c>
      <c r="D232">
        <v>45197</v>
      </c>
      <c r="E232">
        <v>-1939863.625</v>
      </c>
      <c r="F232">
        <v>2173787</v>
      </c>
      <c r="G232">
        <v>238</v>
      </c>
      <c r="H232" t="s">
        <v>18</v>
      </c>
    </row>
    <row r="233" spans="1:8">
      <c r="A233">
        <v>1002</v>
      </c>
      <c r="B233" t="s">
        <v>11</v>
      </c>
      <c r="C233" t="s">
        <v>9</v>
      </c>
      <c r="D233">
        <v>45167</v>
      </c>
      <c r="E233">
        <v>1093356</v>
      </c>
      <c r="F233">
        <v>3544202</v>
      </c>
      <c r="G233">
        <v>416</v>
      </c>
      <c r="H233" t="s">
        <v>10</v>
      </c>
    </row>
    <row r="234" spans="1:8">
      <c r="A234">
        <v>1029</v>
      </c>
      <c r="B234" t="s">
        <v>8</v>
      </c>
      <c r="C234" t="s">
        <v>17</v>
      </c>
      <c r="D234">
        <v>45137</v>
      </c>
      <c r="E234">
        <v>2257215</v>
      </c>
      <c r="F234">
        <v>1957620</v>
      </c>
      <c r="G234">
        <v>310</v>
      </c>
      <c r="H234" t="s">
        <v>15</v>
      </c>
    </row>
    <row r="235" spans="1:8">
      <c r="A235">
        <v>1097</v>
      </c>
      <c r="B235" t="s">
        <v>21</v>
      </c>
      <c r="C235" t="s">
        <v>19</v>
      </c>
      <c r="D235">
        <v>45197</v>
      </c>
      <c r="E235">
        <v>1336802</v>
      </c>
      <c r="F235">
        <v>1374423</v>
      </c>
      <c r="G235">
        <v>335</v>
      </c>
      <c r="H235" t="s">
        <v>18</v>
      </c>
    </row>
    <row r="236" spans="1:8">
      <c r="A236">
        <v>1004</v>
      </c>
      <c r="B236" t="s">
        <v>16</v>
      </c>
      <c r="C236" t="s">
        <v>14</v>
      </c>
      <c r="D236">
        <v>44927</v>
      </c>
      <c r="E236">
        <v>3781813</v>
      </c>
      <c r="F236">
        <v>1811973</v>
      </c>
      <c r="G236">
        <v>438</v>
      </c>
      <c r="H236" t="s">
        <v>15</v>
      </c>
    </row>
    <row r="237" spans="1:8">
      <c r="A237">
        <v>1060</v>
      </c>
      <c r="B237" t="s">
        <v>13</v>
      </c>
      <c r="C237" t="s">
        <v>14</v>
      </c>
      <c r="D237">
        <v>45017</v>
      </c>
      <c r="E237">
        <v>3829559</v>
      </c>
      <c r="F237">
        <v>2765760</v>
      </c>
      <c r="G237">
        <v>495</v>
      </c>
      <c r="H237" t="s">
        <v>15</v>
      </c>
    </row>
    <row r="238" spans="1:8">
      <c r="A238">
        <v>1020</v>
      </c>
      <c r="B238" t="s">
        <v>13</v>
      </c>
      <c r="C238" t="s">
        <v>17</v>
      </c>
      <c r="D238">
        <v>45137</v>
      </c>
      <c r="E238">
        <v>3767103</v>
      </c>
      <c r="F238">
        <v>2291574</v>
      </c>
      <c r="G238">
        <v>276</v>
      </c>
      <c r="H238" t="s">
        <v>20</v>
      </c>
    </row>
    <row r="239" spans="1:8">
      <c r="A239">
        <v>1072</v>
      </c>
      <c r="B239" t="s">
        <v>21</v>
      </c>
      <c r="C239" t="s">
        <v>9</v>
      </c>
      <c r="D239">
        <v>45107</v>
      </c>
      <c r="E239">
        <v>2552615</v>
      </c>
      <c r="F239">
        <v>897685</v>
      </c>
      <c r="G239">
        <v>42</v>
      </c>
      <c r="H239" t="s">
        <v>20</v>
      </c>
    </row>
    <row r="240" spans="1:8">
      <c r="A240">
        <v>1046</v>
      </c>
      <c r="B240" t="s">
        <v>8</v>
      </c>
      <c r="C240" t="s">
        <v>12</v>
      </c>
      <c r="D240">
        <v>44927</v>
      </c>
      <c r="E240">
        <v>2799448</v>
      </c>
      <c r="F240">
        <v>3903778</v>
      </c>
      <c r="G240">
        <v>225</v>
      </c>
      <c r="H240" t="s">
        <v>15</v>
      </c>
    </row>
    <row r="241" spans="1:8">
      <c r="A241">
        <v>1055</v>
      </c>
      <c r="B241" t="s">
        <v>21</v>
      </c>
      <c r="C241" t="s">
        <v>14</v>
      </c>
      <c r="D241">
        <v>45107</v>
      </c>
      <c r="E241">
        <v>3770519</v>
      </c>
      <c r="F241">
        <v>2128968</v>
      </c>
      <c r="G241">
        <v>281</v>
      </c>
      <c r="H241" t="s">
        <v>10</v>
      </c>
    </row>
  </sheetData>
  <autoFilter ref="A1:H241" xr:uid="{758B72CB-D8B6-4D6F-831F-8CE45BCCD33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329D-8290-4DC9-902A-A5E8BE3B7807}">
  <dimension ref="A1:I13"/>
  <sheetViews>
    <sheetView tabSelected="1" workbookViewId="0">
      <selection activeCell="K7" sqref="K7"/>
    </sheetView>
  </sheetViews>
  <sheetFormatPr defaultRowHeight="15"/>
  <cols>
    <col min="1" max="1" width="36.5703125" bestFit="1" customWidth="1"/>
    <col min="3" max="3" width="9.5703125" bestFit="1" customWidth="1"/>
    <col min="8" max="8" width="30.42578125" bestFit="1" customWidth="1"/>
  </cols>
  <sheetData>
    <row r="1" spans="1:9">
      <c r="A1" s="2" t="s">
        <v>35</v>
      </c>
      <c r="B1" s="2" t="s">
        <v>36</v>
      </c>
      <c r="C1" s="2" t="s">
        <v>37</v>
      </c>
    </row>
    <row r="2" spans="1:9">
      <c r="A2" t="s">
        <v>38</v>
      </c>
      <c r="B2">
        <f>COUNTA(Raw_Data!A:A)-1</f>
        <v>255</v>
      </c>
    </row>
    <row r="3" spans="1:9">
      <c r="A3" t="s">
        <v>39</v>
      </c>
      <c r="B3">
        <f>B2-B4-B5-B6</f>
        <v>217</v>
      </c>
      <c r="C3">
        <f>B3/$B$2*100</f>
        <v>85.098039215686271</v>
      </c>
    </row>
    <row r="4" spans="1:9">
      <c r="A4" t="s">
        <v>40</v>
      </c>
      <c r="B4">
        <v>12</v>
      </c>
      <c r="C4">
        <f t="shared" ref="C4:C6" si="0">B4/$B$2*100</f>
        <v>4.7058823529411766</v>
      </c>
      <c r="H4" t="s">
        <v>41</v>
      </c>
      <c r="I4">
        <f>COUNTIF(Working_Copy!I:I,"Missing Cost")</f>
        <v>0</v>
      </c>
    </row>
    <row r="5" spans="1:9">
      <c r="A5" t="s">
        <v>42</v>
      </c>
      <c r="B5">
        <v>11</v>
      </c>
      <c r="C5">
        <f t="shared" si="0"/>
        <v>4.3137254901960782</v>
      </c>
      <c r="H5" t="s">
        <v>43</v>
      </c>
      <c r="I5">
        <f>COUNTIF(Working_Copy!I:I,"Outlier")</f>
        <v>0</v>
      </c>
    </row>
    <row r="6" spans="1:9">
      <c r="A6" t="s">
        <v>44</v>
      </c>
      <c r="B6">
        <v>15</v>
      </c>
      <c r="C6">
        <f t="shared" si="0"/>
        <v>5.8823529411764701</v>
      </c>
    </row>
    <row r="11" spans="1:9" ht="30.75">
      <c r="A11" s="3" t="s">
        <v>45</v>
      </c>
    </row>
    <row r="13" spans="1:9" ht="33">
      <c r="A13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2025-12-30T14:02:01Z</dcterms:created>
  <dcterms:modified xsi:type="dcterms:W3CDTF">2026-01-03T08:32:08Z</dcterms:modified>
  <cp:category/>
  <cp:contentStatus/>
</cp:coreProperties>
</file>